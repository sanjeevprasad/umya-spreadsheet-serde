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78bc793fb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b7e8fb2d0314405e"/>
    <x:sheet xmlns:r="http://schemas.openxmlformats.org/officeDocument/2006/relationships" name="Accounts" sheetId="2" r:id="R22d6c3efcb9445c8"/>
    <x:sheet xmlns:r="http://schemas.openxmlformats.org/officeDocument/2006/relationships" name="Budget" sheetId="3" r:id="R3f8a8ea4c08841fb"/>
    <x:sheet xmlns:r="http://schemas.openxmlformats.org/officeDocument/2006/relationships" name="Dashboard" sheetId="4" r:id="Re169600cdaf541c9"/>
    <x:sheet xmlns:r="http://schemas.openxmlformats.org/officeDocument/2006/relationships" name="Function_Demos" sheetId="5" r:id="Raeee36ee4805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$#,##0.00_);[Red]($#,##0.00)"/>
    <x:numFmt numFmtId="166" formatCode="$#,##0.00"/>
    <x:numFmt numFmtId="167" formatCode="0.0%"/>
    <x:numFmt numFmtId="168" formatCode="yyyy-mm-dd hh:mm"/>
    <x:numFmt numFmtId="169" formatCode="0.000"/>
  </x:numFmts>
  <x:fonts count="9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1F4E79"/>
    </x:font>
    <x:font>
      <x:b/>
      <x:color rgb="000000FF"/>
    </x:font>
    <x:font>
      <x:b/>
    </x:font>
    <x:font>
      <x:b/>
      <x:sz val="14"/>
      <x:color rgb="00FFFFFF"/>
    </x:font>
    <x:font>
      <x:color rgb="000000FF"/>
    </x:font>
    <x:font>
      <x:b/>
      <x:sz val="16"/>
      <x:color rgb="00FFFFFF"/>
    </x:font>
    <x:font/>
  </x:fonts>
  <x:fills count="10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2F5597"/>
      </x:patternFill>
    </x:fill>
    <x:fill>
      <x:patternFill patternType="solid">
        <x:fgColor rgb="00FCE4D6"/>
      </x:patternFill>
    </x:fill>
    <x:fill>
      <x:patternFill patternType="solid">
        <x:fgColor rgb="009C0006"/>
      </x:patternFill>
    </x:fill>
    <x:fill>
      <x:patternFill patternType="solid">
        <x:fgColor rgb="00E2EFDA"/>
      </x:patternFill>
    </x:fill>
    <x:fill>
      <x:patternFill patternType="solid">
        <x:fgColor rgb="00FFF2CC"/>
      </x:patternFill>
    </x:fill>
    <x:fill>
      <x:patternFill patternType="solid">
        <x:fgColor rgb="007030A0"/>
      </x:patternFill>
    </x:fill>
  </x:fills>
  <x:borders count="6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  <x:border>
      <x:left/>
      <x:right/>
      <x:top style="thin">
        <x:color rgb="00D0D0D0"/>
      </x:top>
      <x:bottom/>
      <x:diagonal/>
    </x:border>
    <x:border>
      <x:left/>
      <x:right style="thin">
        <x:color rgb="00D0D0D0"/>
      </x:right>
      <x:top style="thin">
        <x:color rgb="00D0D0D0"/>
      </x:top>
      <x:bottom/>
      <x:diagonal/>
    </x:border>
    <x:border>
      <x:left/>
      <x:right/>
      <x:top style="thin">
        <x:color rgb="00D0D0D0"/>
      </x:top>
      <x:bottom style="thin">
        <x:color rgb="00D0D0D0"/>
      </x:bottom>
      <x:diagonal/>
    </x:border>
    <x:border>
      <x:left/>
      <x:right style="thin">
        <x:color rgb="00D0D0D0"/>
      </x:right>
      <x:top style="thin">
        <x:color rgb="00D0D0D0"/>
      </x:top>
      <x:bottom style="thin">
        <x:color rgb="00D0D0D0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0" borderId="1" xfId="0" applyAlignment="1">
      <x:alignment horizontal="center"/>
    </x:xf>
    <x:xf numFmtId="0" fontId="0" fillId="0" borderId="1" xfId="0" applyAlignment="1">
      <x:alignment horizontal="left"/>
    </x:xf>
    <x:xf numFmtId="165" fontId="0" fillId="0" borderId="1" xfId="0" applyAlignment="1">
      <x:alignment horizontal="right"/>
    </x:xf>
    <x:xf numFmtId="0" fontId="0" fillId="0" borderId="1" xfId="0" applyAlignment="1">
      <x:alignment horizontal="right"/>
    </x:xf>
    <x:xf numFmtId="166" fontId="0" fillId="0" borderId="1" xfId="0" applyAlignment="1">
      <x:alignment horizontal="right"/>
    </x:xf>
    <x:xf numFmtId="0" fontId="2" fillId="3" borderId="1" xfId="0" applyAlignment="1">
      <x:alignment horizontal="center"/>
    </x:xf>
    <x:xf numFmtId="164" fontId="2" fillId="3" borderId="1" xfId="0" applyAlignment="1">
      <x:alignment horizontal="center"/>
    </x:xf>
    <x:xf numFmtId="0" fontId="1" fillId="4" borderId="0" xfId="0" applyAlignment="1">
      <x:alignment horizontal="left" vertical="center"/>
    </x:xf>
    <x:xf numFmtId="0" fontId="3" fillId="0" borderId="0" xfId="0"/>
    <x:xf numFmtId="165" fontId="0" fillId="0" borderId="0" xfId="0"/>
    <x:xf numFmtId="0" fontId="4" fillId="5" borderId="1" xfId="0"/>
    <x:xf numFmtId="165" fontId="0" fillId="5" borderId="1" xfId="0"/>
    <x:xf numFmtId="0" fontId="1" fillId="6" borderId="0" xfId="0" applyAlignment="1">
      <x:alignment horizontal="left" vertical="center"/>
    </x:xf>
    <x:xf numFmtId="0" fontId="4" fillId="7" borderId="1" xfId="0"/>
    <x:xf numFmtId="165" fontId="0" fillId="7" borderId="1" xfId="0"/>
    <x:xf numFmtId="0" fontId="4" fillId="8" borderId="1" xfId="0"/>
    <x:xf numFmtId="165" fontId="0" fillId="8" borderId="1" xfId="0"/>
    <x:xf numFmtId="0" fontId="1" fillId="2" borderId="0" xfId="0"/>
    <x:xf numFmtId="0" fontId="1" fillId="2" borderId="1" xfId="0" applyAlignment="1">
      <x:alignment horizontal="center"/>
    </x:xf>
    <x:xf numFmtId="0" fontId="5" fillId="2" borderId="0" xfId="0" applyAlignment="1">
      <x:alignment horizontal="left" vertical="center"/>
    </x:xf>
    <x:xf numFmtId="0" fontId="1" fillId="9" borderId="0" xfId="0" applyAlignment="1">
      <x:alignment horizontal="left"/>
    </x:xf>
    <x:xf numFmtId="0" fontId="4" fillId="0" borderId="1" xfId="0"/>
    <x:xf numFmtId="167" fontId="6" fillId="0" borderId="1" xfId="0"/>
    <x:xf numFmtId="0" fontId="6" fillId="0" borderId="1" xfId="0"/>
    <x:xf numFmtId="0" fontId="0" fillId="0" borderId="1" xfId="0"/>
    <x:xf numFmtId="165" fontId="6" fillId="0" borderId="1" xfId="0" applyAlignment="1">
      <x:alignment horizontal="right"/>
    </x:xf>
    <x:xf numFmtId="167" fontId="0" fillId="0" borderId="1" xfId="0" applyAlignment="1">
      <x:alignment horizontal="right"/>
    </x:xf>
    <x:xf numFmtId="167" fontId="0" fillId="8" borderId="1" xfId="0"/>
    <x:xf numFmtId="0" fontId="0" fillId="8" borderId="1" xfId="0"/>
    <x:xf numFmtId="0" fontId="7" fillId="2" borderId="0" xfId="0" applyAlignment="1">
      <x:alignment horizontal="left" vertical="center"/>
    </x:xf>
    <x:xf numFmtId="0" fontId="1" fillId="4" borderId="0" xfId="0" applyAlignment="1">
      <x:alignment horizontal="left"/>
    </x:xf>
    <x:xf numFmtId="0" fontId="4" fillId="0" borderId="1" xfId="0" applyAlignment="1">
      <x:alignment horizontal="left"/>
    </x:xf>
    <x:xf numFmtId="164" fontId="0" fillId="0" borderId="1" xfId="0" applyAlignment="1">
      <x:alignment horizontal="right"/>
    </x:xf>
    <x:xf numFmtId="168" fontId="0" fillId="0" borderId="1" xfId="0" applyAlignment="1">
      <x:alignment horizontal="right"/>
    </x:xf>
    <x:xf numFmtId="1" fontId="0" fillId="0" borderId="1" xfId="0" applyAlignment="1">
      <x:alignment horizontal="right"/>
    </x:xf>
    <x:xf numFmtId="0" fontId="1" fillId="2" borderId="0" xfId="0" applyAlignment="1">
      <x:alignment horizontal="left"/>
    </x:xf>
    <x:xf numFmtId="1" fontId="6" fillId="0" borderId="1" xfId="0" applyAlignment="1">
      <x:alignment horizontal="right"/>
    </x:xf>
    <x:xf numFmtId="0" fontId="8" fillId="0" borderId="1" xfId="0" applyAlignment="1">
      <x:alignment horizontal="right"/>
    </x:xf>
    <x:xf numFmtId="1" fontId="8" fillId="0" borderId="1" xfId="0" applyAlignment="1">
      <x:alignment horizontal="right"/>
    </x:xf>
    <x:xf numFmtId="169" fontId="6" fillId="0" borderId="1" xfId="0" applyAlignment="1">
      <x:alignment horizontal="right"/>
    </x:xf>
    <x:xf numFmtId="0" fontId="6" fillId="0" borderId="1" xfId="0" applyAlignment="1">
      <x:alignment horizontal="right"/>
    </x:xf>
    <x:xf numFmtId="164" fontId="6" fillId="0" borderId="1" xfId="0" applyAlignment="1">
      <x:alignment horizontal="right"/>
    </x:xf>
    <x:xf numFmtId="168" fontId="6" fillId="0" borderId="1" xfId="0" applyAlignment="1">
      <x:alignment horizontal="right"/>
    </x:xf>
    <x:xf numFmtId="0" fontId="0" fillId="0" borderId="1" xfId="0" applyAlignment="1">
      <x:alignment horizontal="left" wrapText="1"/>
    </x:xf>
    <x:xf numFmtId="0" fontId="0" fillId="0" borderId="1" xfId="0" applyAlignment="1">
      <x:alignment horizontal="right" wrapText="1"/>
    </x:xf>
    <x:xf numFmtId="0" fontId="4" fillId="3" borderId="1" xfId="0"/>
    <x:xf numFmtId="0" fontId="0" fillId="3" borderId="1" xfId="0"/>
    <x:xf numFmtId="0" fontId="0" fillId="0" borderId="4" xfId="0"/>
    <x:xf numFmtId="0" fontId="0" fillId="0" borderId="5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4df539ce941df" /><Relationship Type="http://schemas.openxmlformats.org/officeDocument/2006/relationships/theme" Target="/xl/theme/theme1.xml" Id="R6f3823fdbf29410a" /><Relationship Type="http://schemas.openxmlformats.org/officeDocument/2006/relationships/sharedStrings" Target="/xl/sharedStrings.xml" Id="R3c053594a62b41dc" /><Relationship Type="http://schemas.openxmlformats.org/officeDocument/2006/relationships/worksheet" Target="/xl/worksheets/sheet1.xml" Id="Rb7e8fb2d0314405e" /><Relationship Type="http://schemas.openxmlformats.org/officeDocument/2006/relationships/worksheet" Target="/xl/worksheets/sheet2.xml" Id="R22d6c3efcb9445c8" /><Relationship Type="http://schemas.openxmlformats.org/officeDocument/2006/relationships/worksheet" Target="/xl/worksheets/sheet3.xml" Id="R3f8a8ea4c08841fb" /><Relationship Type="http://schemas.openxmlformats.org/officeDocument/2006/relationships/worksheet" Target="/xl/worksheets/sheet4.xml" Id="Re169600cdaf541c9" /><Relationship Type="http://schemas.openxmlformats.org/officeDocument/2006/relationships/worksheet" Target="/xl/worksheets/sheet5.xml" Id="Raeee36ee4805446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14" customWidth="1"/>
    <x:col min="4" max="4" width="14" customWidth="1"/>
    <x:col min="5" max="5" width="12" customWidth="1"/>
    <x:col min="6" max="6" width="16" customWidth="1"/>
    <x:col min="7" max="7" width="12" customWidth="1"/>
    <x:col min="8" max="8" width="14" customWidth="1"/>
    <x:col min="9" max="9" width="8" customWidth="1"/>
    <x:col min="10" max="10" width="6" customWidth="1"/>
    <x:col min="11" max="11" width="9" customWidth="1"/>
    <x:col min="12" max="12" width="9" customWidth="1"/>
    <x:col min="13" max="13" width="20" customWidth="1"/>
    <x:col min="14" max="14" width="14" customWidth="1"/>
    <x:col min="15" max="15" width="14" customWidth="1"/>
    <x:col min="16" max="16" width="14" customWidth="1"/>
    <x:col min="17" max="17" width="9" customWidth="1"/>
    <x:col min="18" max="18" width="10" customWidth="1"/>
    <x:col min="19" max="19" width="6" customWidth="1"/>
    <x:col min="20" max="20" width="9" customWidth="1"/>
    <x:col min="21" max="21" width="9" customWidth="1"/>
  </x:cols>
  <x:sheetData>
    <x:row r="1" ht="24" customHeight="1">
      <x:c r="A1" s="1" t="inlineStr">
        <x:is>
          <x:t xml:space="preserve">Date</x:t>
        </x:is>
      </x:c>
      <x:c r="B1" s="1" t="inlineStr">
        <x:is>
          <x:t xml:space="preserve">Description</x:t>
        </x:is>
      </x:c>
      <x:c r="C1" s="1" t="inlineStr">
        <x:is>
          <x:t xml:space="preserve">Category</x:t>
        </x:is>
      </x:c>
      <x:c r="D1" s="1" t="inlineStr">
        <x:is>
          <x:t xml:space="preserve">Account</x:t>
        </x:is>
      </x:c>
      <x:c r="E1" s="1" t="inlineStr">
        <x:is>
          <x:t xml:space="preserve">Amount</x:t>
        </x:is>
      </x:c>
      <x:c r="F1" s="1" t="inlineStr">
        <x:is>
          <x:t xml:space="preserve">Type (Income/Expense)</x:t>
        </x:is>
      </x:c>
      <x:c r="G1" s="1" t="inlineStr">
        <x:is>
          <x:t xml:space="preserve">Abs Amount</x:t>
        </x:is>
      </x:c>
      <x:c r="H1" s="1" t="inlineStr">
        <x:is>
          <x:t xml:space="preserve">Rounded (2dp)</x:t>
        </x:is>
      </x:c>
      <x:c r="I1" s="1" t="inlineStr">
        <x:is>
          <x:t xml:space="preserve">Month</x:t>
        </x:is>
      </x:c>
      <x:c r="J1" s="1" t="inlineStr">
        <x:is>
          <x:t xml:space="preserve">Year</x:t>
        </x:is>
      </x:c>
      <x:c r="K1" s="1" t="inlineStr">
        <x:is>
          <x:t xml:space="preserve">WeekNum</x:t>
        </x:is>
      </x:c>
      <x:c r="L1" s="1" t="inlineStr">
        <x:is>
          <x:t xml:space="preserve">ISO Week</x:t>
        </x:is>
      </x:c>
      <x:c r="M1" s="1" t="inlineStr">
        <x:is>
          <x:t xml:space="preserve">Clean Desc</x:t>
        </x:is>
      </x:c>
      <x:c r="N1" s="1" t="inlineStr">
        <x:is>
          <x:t xml:space="preserve">Desc UPPER</x:t>
        </x:is>
      </x:c>
      <x:c r="O1" s="1" t="inlineStr">
        <x:is>
          <x:t xml:space="preserve">Desc lower</x:t>
        </x:is>
      </x:c>
      <x:c r="P1" s="1" t="inlineStr">
        <x:is>
          <x:t xml:space="preserve">Desc Proper</x:t>
        </x:is>
      </x:c>
      <x:c r="Q1" s="1" t="inlineStr">
        <x:is>
          <x:t xml:space="preserve">Desc LEN</x:t>
        </x:is>
      </x:c>
      <x:c r="R1" s="1" t="inlineStr">
        <x:is>
          <x:t xml:space="preserve">IsDescBlank</x:t>
        </x:is>
      </x:c>
      <x:c r="S1" s="1" t="inlineStr">
        <x:is>
          <x:t xml:space="preserve">Sign</x:t>
        </x:is>
      </x:c>
      <x:c r="T1" s="1" t="inlineStr">
        <x:is>
          <x:t xml:space="preserve">IsEvenRow</x:t>
        </x:is>
      </x:c>
      <x:c r="U1" s="1" t="inlineStr">
        <x:is>
          <x:t xml:space="preserve">IsOddRow</x:t>
        </x:is>
      </x:c>
    </x:row>
    <x:row r="2">
      <x:c r="A2" s="2" t="n">
        <x:v>45985</x:v>
      </x:c>
      <x:c r="B2" s="3" t="inlineStr">
        <x:is>
          <x:t xml:space="preserve">Client invoice</x:t>
        </x:is>
      </x:c>
      <x:c r="C2" s="3" t="inlineStr">
        <x:is>
          <x:t xml:space="preserve">Interest</x:t>
        </x:is>
      </x:c>
      <x:c r="D2" s="3" t="inlineStr">
        <x:is>
          <x:t xml:space="preserve">Checking</x:t>
        </x:is>
      </x:c>
      <x:c r="E2" s="4" t="n">
        <x:v>1839.26</x:v>
      </x:c>
      <x:c r="F2" s="5" t="str">
        <x:f>IF(E2&gt;=0,"Income","Expense")</x:f>
        <x:v>Income</x:v>
      </x:c>
      <x:c r="G2" s="6">
        <x:f>ABS(E2)</x:f>
        <x:v>1839.26</x:v>
      </x:c>
      <x:c r="H2" s="4">
        <x:f>ROUND(E2,2)</x:f>
        <x:v>1839.26</x:v>
      </x:c>
      <x:c r="I2" s="5">
        <x:f>MONTH(A2)</x:f>
        <x:v>15</x:v>
      </x:c>
      <x:c r="J2" s="5">
        <x:f>YEAR(A2)</x:f>
        <x:v>15</x:v>
      </x:c>
      <x:c r="K2" s="5">
        <x:f>WEEKNUM(A2,2)</x:f>
        <x:v>48</x:v>
      </x:c>
      <x:c r="L2" s="5">
        <x:f>ISOWEEKNUM(A2)</x:f>
        <x:v>48</x:v>
      </x:c>
      <x:c r="M2" s="5" t="str">
        <x:f>TRIM(CLEAN(B2))</x:f>
        <x:v>Client invoice</x:v>
      </x:c>
      <x:c r="N2" s="5" t="str">
        <x:f>UPPER(M2)</x:f>
        <x:v>CLIENT INVOICE</x:v>
      </x:c>
      <x:c r="O2" s="5" t="str">
        <x:f>LOWER(M2)</x:f>
        <x:v>client invoice</x:v>
      </x:c>
      <x:c r="P2" s="3" t="str">
        <x:f>PROPER(M2)</x:f>
        <x:v>Client Invoice</x:v>
      </x:c>
      <x:c r="Q2" s="3">
        <x:f>LEN(M2)</x:f>
        <x:v>14</x:v>
      </x:c>
      <x:c r="R2" s="3" t="b">
        <x:f>ISBLANK(B2)</x:f>
        <x:v>0</x:v>
      </x:c>
      <x:c r="S2" s="3">
        <x:f>SIGN(E2)</x:f>
        <x:v>1</x:v>
      </x:c>
      <x:c r="T2" s="3" t="b">
        <x:f>ISEVEN(ROW())</x:f>
        <x:v>1</x:v>
      </x:c>
      <x:c r="U2" s="3" t="b">
        <x:f>ISODD(ROW())</x:f>
        <x:v>0</x:v>
      </x:c>
    </x:row>
    <x:row r="3">
      <x:c r="A3" s="2" t="n">
        <x:v>45702</x:v>
      </x:c>
      <x:c r="B3" s="3" t="inlineStr">
        <x:is>
          <x:t xml:space="preserve">Apartment rent
</x:t>
        </x:is>
      </x:c>
      <x:c r="C3" s="3" t="inlineStr">
        <x:is>
          <x:t xml:space="preserve">Rent</x:t>
        </x:is>
      </x:c>
      <x:c r="D3" s="3" t="inlineStr">
        <x:is>
          <x:t xml:space="preserve">Checking</x:t>
        </x:is>
      </x:c>
      <x:c r="E3" s="4" t="n">
        <x:v>-275.94</x:v>
      </x:c>
      <x:c r="F3" s="5" t="str">
        <x:f>IF(E3&gt;=0,"Income","Expense")</x:f>
        <x:v>Expense</x:v>
      </x:c>
      <x:c r="G3" s="6">
        <x:f>ABS(E3)</x:f>
        <x:v>275.94</x:v>
      </x:c>
      <x:c r="H3" s="4">
        <x:f>ROUND(E3,2)</x:f>
        <x:v>-275.94</x:v>
      </x:c>
      <x:c r="I3" s="5">
        <x:f>MONTH(A3)</x:f>
        <x:v>15</x:v>
      </x:c>
      <x:c r="J3" s="5">
        <x:f>YEAR(A3)</x:f>
        <x:v>15</x:v>
      </x:c>
      <x:c r="K3" s="5">
        <x:f>WEEKNUM(A3,2)</x:f>
        <x:v>7</x:v>
      </x:c>
      <x:c r="L3" s="5">
        <x:f>ISOWEEKNUM(A3)</x:f>
        <x:v>7</x:v>
      </x:c>
      <x:c r="M3" s="5" t="str">
        <x:f>TRIM(CLEAN(B3))</x:f>
        <x:v>Apartment rent</x:v>
      </x:c>
      <x:c r="N3" s="5" t="str">
        <x:f>UPPER(M3)</x:f>
        <x:v>APARTMENT RENT</x:v>
      </x:c>
      <x:c r="O3" s="5" t="str">
        <x:f>LOWER(M3)</x:f>
        <x:v>apartment rent</x:v>
      </x:c>
      <x:c r="P3" s="3" t="str">
        <x:f>PROPER(M3)</x:f>
        <x:v>Apartment Rent</x:v>
      </x:c>
      <x:c r="Q3" s="3">
        <x:f>LEN(M3)</x:f>
        <x:v>14</x:v>
      </x:c>
      <x:c r="R3" s="3" t="b">
        <x:f>ISBLANK(B3)</x:f>
        <x:v>0</x:v>
      </x:c>
      <x:c r="S3" s="3">
        <x:f>SIGN(E3)</x:f>
        <x:v>-1</x:v>
      </x:c>
      <x:c r="T3" s="3" t="b">
        <x:f>ISEVEN(ROW())</x:f>
        <x:v>0</x:v>
      </x:c>
      <x:c r="U3" s="3" t="b">
        <x:f>ISODD(ROW())</x:f>
        <x:v>1</x:v>
      </x:c>
    </x:row>
    <x:row r="4">
      <x:c r="A4" s="2" t="n">
        <x:v>45759</x:v>
      </x:c>
      <x:c r="B4" s="3" t="inlineStr">
        <x:is>
          <x:t xml:space="preserve">Business trip
</x:t>
        </x:is>
      </x:c>
      <x:c r="C4" s="3" t="inlineStr">
        <x:is>
          <x:t xml:space="preserve">Insurance</x:t>
        </x:is>
      </x:c>
      <x:c r="D4" s="3" t="inlineStr">
        <x:is>
          <x:t xml:space="preserve">Credit Card</x:t>
        </x:is>
      </x:c>
      <x:c r="E4" s="4" t="n">
        <x:v>-1266.05</x:v>
      </x:c>
      <x:c r="F4" s="5" t="str">
        <x:f>IF(E4&gt;=0,"Income","Expense")</x:f>
        <x:v>Expense</x:v>
      </x:c>
      <x:c r="G4" s="6">
        <x:f>ABS(E4)</x:f>
        <x:v>1266.05</x:v>
      </x:c>
      <x:c r="H4" s="4">
        <x:f>ROUND(E4,2)</x:f>
        <x:v>-1266.05</x:v>
      </x:c>
      <x:c r="I4" s="5">
        <x:f>MONTH(A4)</x:f>
        <x:v>15</x:v>
      </x:c>
      <x:c r="J4" s="5">
        <x:f>YEAR(A4)</x:f>
        <x:v>15</x:v>
      </x:c>
      <x:c r="K4" s="5">
        <x:f>WEEKNUM(A4,2)</x:f>
        <x:v>15</x:v>
      </x:c>
      <x:c r="L4" s="5">
        <x:f>ISOWEEKNUM(A4)</x:f>
        <x:v>15</x:v>
      </x:c>
      <x:c r="M4" s="5" t="str">
        <x:f>TRIM(CLEAN(B4))</x:f>
        <x:v>Business trip</x:v>
      </x:c>
      <x:c r="N4" s="5" t="str">
        <x:f>UPPER(M4)</x:f>
        <x:v>BUSINESS TRIP</x:v>
      </x:c>
      <x:c r="O4" s="5" t="str">
        <x:f>LOWER(M4)</x:f>
        <x:v>business trip</x:v>
      </x:c>
      <x:c r="P4" s="3" t="str">
        <x:f>PROPER(M4)</x:f>
        <x:v>Business Trip</x:v>
      </x:c>
      <x:c r="Q4" s="3">
        <x:f>LEN(M4)</x:f>
        <x:v>13</x:v>
      </x:c>
      <x:c r="R4" s="3" t="b">
        <x:f>ISBLANK(B4)</x:f>
        <x:v>0</x:v>
      </x:c>
      <x:c r="S4" s="3">
        <x:f>SIGN(E4)</x:f>
        <x:v>-1</x:v>
      </x:c>
      <x:c r="T4" s="3" t="b">
        <x:f>ISEVEN(ROW())</x:f>
        <x:v>1</x:v>
      </x:c>
      <x:c r="U4" s="3" t="b">
        <x:f>ISODD(ROW())</x:f>
        <x:v>0</x:v>
      </x:c>
    </x:row>
    <x:row r="5">
      <x:c r="A5" s="2" t="n">
        <x:v>45739</x:v>
      </x:c>
      <x:c r="B5" s="3" t="inlineStr">
        <x:is>
          <x:t xml:space="preserve">SaaS subscription  </x:t>
        </x:is>
      </x:c>
      <x:c r="C5" s="3" t="inlineStr">
        <x:is>
          <x:t xml:space="preserve">Marketing</x:t>
        </x:is>
      </x:c>
      <x:c r="D5" s="3" t="inlineStr">
        <x:is>
          <x:t xml:space="preserve">Credit Card</x:t>
        </x:is>
      </x:c>
      <x:c r="E5" s="4" t="n">
        <x:v>-448.01</x:v>
      </x:c>
      <x:c r="F5" s="5" t="str">
        <x:f>IF(E5&gt;=0,"Income","Expense")</x:f>
        <x:v>Expense</x:v>
      </x:c>
      <x:c r="G5" s="6">
        <x:f>ABS(E5)</x:f>
        <x:v>448.01</x:v>
      </x:c>
      <x:c r="H5" s="4">
        <x:f>ROUND(E5,2)</x:f>
        <x:v>-448.01</x:v>
      </x:c>
      <x:c r="I5" s="5">
        <x:f>MONTH(A5)</x:f>
        <x:v>15</x:v>
      </x:c>
      <x:c r="J5" s="5">
        <x:f>YEAR(A5)</x:f>
        <x:v>15</x:v>
      </x:c>
      <x:c r="K5" s="5">
        <x:f>WEEKNUM(A5,2)</x:f>
        <x:v>12</x:v>
      </x:c>
      <x:c r="L5" s="5">
        <x:f>ISOWEEKNUM(A5)</x:f>
        <x:v>12</x:v>
      </x:c>
      <x:c r="M5" s="5" t="str">
        <x:f>TRIM(CLEAN(B5))</x:f>
        <x:v>SaaS subscription</x:v>
      </x:c>
      <x:c r="N5" s="5" t="str">
        <x:f>UPPER(M5)</x:f>
        <x:v>SAAS SUBSCRIPTION</x:v>
      </x:c>
      <x:c r="O5" s="5" t="str">
        <x:f>LOWER(M5)</x:f>
        <x:v>saas subscription</x:v>
      </x:c>
      <x:c r="P5" s="3" t="str">
        <x:f>PROPER(M5)</x:f>
        <x:v>Saas Subscription</x:v>
      </x:c>
      <x:c r="Q5" s="3">
        <x:f>LEN(M5)</x:f>
        <x:v>17</x:v>
      </x:c>
      <x:c r="R5" s="3" t="b">
        <x:f>ISBLANK(B5)</x:f>
        <x:v>0</x:v>
      </x:c>
      <x:c r="S5" s="3">
        <x:f>SIGN(E5)</x:f>
        <x:v>-1</x:v>
      </x:c>
      <x:c r="T5" s="3" t="b">
        <x:f>ISEVEN(ROW())</x:f>
        <x:v>0</x:v>
      </x:c>
      <x:c r="U5" s="3" t="b">
        <x:f>ISODD(ROW())</x:f>
        <x:v>1</x:v>
      </x:c>
    </x:row>
    <x:row r="6">
      <x:c r="A6" s="2" t="n">
        <x:v>45841</x:v>
      </x:c>
      <x:c r="B6" s="3" t="inlineStr">
        <x:is>
          <x:t xml:space="preserve">Apartment rent  </x:t>
        </x:is>
      </x:c>
      <x:c r="C6" s="3" t="inlineStr">
        <x:is>
          <x:t xml:space="preserve">Software</x:t>
        </x:is>
      </x:c>
      <x:c r="D6" s="3" t="inlineStr">
        <x:is>
          <x:t xml:space="preserve">Savings</x:t>
        </x:is>
      </x:c>
      <x:c r="E6" s="4" t="n">
        <x:v>-2047.3</x:v>
      </x:c>
      <x:c r="F6" s="5" t="str">
        <x:f>IF(E6&gt;=0,"Income","Expense")</x:f>
        <x:v>Expense</x:v>
      </x:c>
      <x:c r="G6" s="6">
        <x:f>ABS(E6)</x:f>
        <x:v>2047.3</x:v>
      </x:c>
      <x:c r="H6" s="4">
        <x:f>ROUND(E6,2)</x:f>
        <x:v>-2047.3</x:v>
      </x:c>
      <x:c r="I6" s="5">
        <x:f>MONTH(A6)</x:f>
        <x:v>15</x:v>
      </x:c>
      <x:c r="J6" s="5">
        <x:f>YEAR(A6)</x:f>
        <x:v>15</x:v>
      </x:c>
      <x:c r="K6" s="5">
        <x:f>WEEKNUM(A6,2)</x:f>
        <x:v>27</x:v>
      </x:c>
      <x:c r="L6" s="5">
        <x:f>ISOWEEKNUM(A6)</x:f>
        <x:v>27</x:v>
      </x:c>
      <x:c r="M6" s="5" t="str">
        <x:f>TRIM(CLEAN(B6))</x:f>
        <x:v>Apartment rent</x:v>
      </x:c>
      <x:c r="N6" s="5" t="str">
        <x:f>UPPER(M6)</x:f>
        <x:v>APARTMENT RENT</x:v>
      </x:c>
      <x:c r="O6" s="5" t="str">
        <x:f>LOWER(M6)</x:f>
        <x:v>apartment rent</x:v>
      </x:c>
      <x:c r="P6" s="3" t="str">
        <x:f>PROPER(M6)</x:f>
        <x:v>Apartment Rent</x:v>
      </x:c>
      <x:c r="Q6" s="3">
        <x:f>LEN(M6)</x:f>
        <x:v>14</x:v>
      </x:c>
      <x:c r="R6" s="3" t="b">
        <x:f>ISBLANK(B6)</x:f>
        <x:v>0</x:v>
      </x:c>
      <x:c r="S6" s="3">
        <x:f>SIGN(E6)</x:f>
        <x:v>-1</x:v>
      </x:c>
      <x:c r="T6" s="3" t="b">
        <x:f>ISEVEN(ROW())</x:f>
        <x:v>1</x:v>
      </x:c>
      <x:c r="U6" s="3" t="b">
        <x:f>ISODD(ROW())</x:f>
        <x:v>0</x:v>
      </x:c>
    </x:row>
    <x:row r="7">
      <x:c r="A7" s="2" t="n">
        <x:v>45698</x:v>
      </x:c>
      <x:c r="B7" s="3" t="inlineStr">
        <x:is>
          <x:t xml:space="preserve">Business trip</x:t>
        </x:is>
      </x:c>
      <x:c r="C7" s="3" t="inlineStr">
        <x:is>
          <x:t xml:space="preserve">Marketing</x:t>
        </x:is>
      </x:c>
      <x:c r="D7" s="3" t="inlineStr">
        <x:is>
          <x:t xml:space="preserve">Checking</x:t>
        </x:is>
      </x:c>
      <x:c r="E7" s="4" t="n">
        <x:v>-1977.23</x:v>
      </x:c>
      <x:c r="F7" s="5" t="str">
        <x:f>IF(E7&gt;=0,"Income","Expense")</x:f>
        <x:v>Expense</x:v>
      </x:c>
      <x:c r="G7" s="6">
        <x:f>ABS(E7)</x:f>
        <x:v>1977.23</x:v>
      </x:c>
      <x:c r="H7" s="4">
        <x:f>ROUND(E7,2)</x:f>
        <x:v>-1977.23</x:v>
      </x:c>
      <x:c r="I7" s="5">
        <x:f>MONTH(A7)</x:f>
        <x:v>15</x:v>
      </x:c>
      <x:c r="J7" s="5">
        <x:f>YEAR(A7)</x:f>
        <x:v>15</x:v>
      </x:c>
      <x:c r="K7" s="5">
        <x:f>WEEKNUM(A7,2)</x:f>
        <x:v>7</x:v>
      </x:c>
      <x:c r="L7" s="5">
        <x:f>ISOWEEKNUM(A7)</x:f>
        <x:v>7</x:v>
      </x:c>
      <x:c r="M7" s="5" t="str">
        <x:f>TRIM(CLEAN(B7))</x:f>
        <x:v>Business trip</x:v>
      </x:c>
      <x:c r="N7" s="5" t="str">
        <x:f>UPPER(M7)</x:f>
        <x:v>BUSINESS TRIP</x:v>
      </x:c>
      <x:c r="O7" s="5" t="str">
        <x:f>LOWER(M7)</x:f>
        <x:v>business trip</x:v>
      </x:c>
      <x:c r="P7" s="3" t="str">
        <x:f>PROPER(M7)</x:f>
        <x:v>Business Trip</x:v>
      </x:c>
      <x:c r="Q7" s="3">
        <x:f>LEN(M7)</x:f>
        <x:v>13</x:v>
      </x:c>
      <x:c r="R7" s="3" t="b">
        <x:f>ISBLANK(B7)</x:f>
        <x:v>0</x:v>
      </x:c>
      <x:c r="S7" s="3">
        <x:f>SIGN(E7)</x:f>
        <x:v>-1</x:v>
      </x:c>
      <x:c r="T7" s="3" t="b">
        <x:f>ISEVEN(ROW())</x:f>
        <x:v>0</x:v>
      </x:c>
      <x:c r="U7" s="3" t="b">
        <x:f>ISODD(ROW())</x:f>
        <x:v>1</x:v>
      </x:c>
    </x:row>
    <x:row r="8">
      <x:c r="A8" s="2" t="n">
        <x:v>45698</x:v>
      </x:c>
      <x:c r="B8" s="3" t="inlineStr">
        <x:is>
          <x:t xml:space="preserve">Policy premium</x:t>
        </x:is>
      </x:c>
      <x:c r="C8" s="3" t="inlineStr">
        <x:is>
          <x:t xml:space="preserve">Groceries</x:t>
        </x:is>
      </x:c>
      <x:c r="D8" s="3" t="inlineStr">
        <x:is>
          <x:t xml:space="preserve">Savings</x:t>
        </x:is>
      </x:c>
      <x:c r="E8" s="4" t="n">
        <x:v>-789.16</x:v>
      </x:c>
      <x:c r="F8" s="5" t="str">
        <x:f>IF(E8&gt;=0,"Income","Expense")</x:f>
        <x:v>Expense</x:v>
      </x:c>
      <x:c r="G8" s="6">
        <x:f>ABS(E8)</x:f>
        <x:v>789.16</x:v>
      </x:c>
      <x:c r="H8" s="4">
        <x:f>ROUND(E8,2)</x:f>
        <x:v>-789.16</x:v>
      </x:c>
      <x:c r="I8" s="5">
        <x:f>MONTH(A8)</x:f>
        <x:v>15</x:v>
      </x:c>
      <x:c r="J8" s="5">
        <x:f>YEAR(A8)</x:f>
        <x:v>15</x:v>
      </x:c>
      <x:c r="K8" s="5">
        <x:f>WEEKNUM(A8,2)</x:f>
        <x:v>7</x:v>
      </x:c>
      <x:c r="L8" s="5">
        <x:f>ISOWEEKNUM(A8)</x:f>
        <x:v>7</x:v>
      </x:c>
      <x:c r="M8" s="5" t="str">
        <x:f>TRIM(CLEAN(B8))</x:f>
        <x:v>Policy premium</x:v>
      </x:c>
      <x:c r="N8" s="5" t="str">
        <x:f>UPPER(M8)</x:f>
        <x:v>POLICY PREMIUM</x:v>
      </x:c>
      <x:c r="O8" s="5" t="str">
        <x:f>LOWER(M8)</x:f>
        <x:v>policy premium</x:v>
      </x:c>
      <x:c r="P8" s="3" t="str">
        <x:f>PROPER(M8)</x:f>
        <x:v>Policy Premium</x:v>
      </x:c>
      <x:c r="Q8" s="3">
        <x:f>LEN(M8)</x:f>
        <x:v>14</x:v>
      </x:c>
      <x:c r="R8" s="3" t="b">
        <x:f>ISBLANK(B8)</x:f>
        <x:v>0</x:v>
      </x:c>
      <x:c r="S8" s="3">
        <x:f>SIGN(E8)</x:f>
        <x:v>-1</x:v>
      </x:c>
      <x:c r="T8" s="3" t="b">
        <x:f>ISEVEN(ROW())</x:f>
        <x:v>1</x:v>
      </x:c>
      <x:c r="U8" s="3" t="b">
        <x:f>ISODD(ROW())</x:f>
        <x:v>0</x:v>
      </x:c>
    </x:row>
    <x:row r="9">
      <x:c r="A9" s="2" t="n">
        <x:v>45839</x:v>
      </x:c>
      <x:c r="B9" s="3" t="inlineStr">
        <x:is>
          <x:t xml:space="preserve">Monthly salary</x:t>
        </x:is>
      </x:c>
      <x:c r="C9" s="3" t="inlineStr">
        <x:is>
          <x:t xml:space="preserve">Interest</x:t>
        </x:is>
      </x:c>
      <x:c r="D9" s="3" t="inlineStr">
        <x:is>
          <x:t xml:space="preserve">Checking</x:t>
        </x:is>
      </x:c>
      <x:c r="E9" s="4" t="n">
        <x:v>4154.79</x:v>
      </x:c>
      <x:c r="F9" s="5" t="str">
        <x:f>IF(E9&gt;=0,"Income","Expense")</x:f>
        <x:v>Income</x:v>
      </x:c>
      <x:c r="G9" s="6">
        <x:f>ABS(E9)</x:f>
        <x:v>4154.79</x:v>
      </x:c>
      <x:c r="H9" s="4">
        <x:f>ROUND(E9,2)</x:f>
        <x:v>4154.79</x:v>
      </x:c>
      <x:c r="I9" s="5">
        <x:f>MONTH(A9)</x:f>
        <x:v>15</x:v>
      </x:c>
      <x:c r="J9" s="5">
        <x:f>YEAR(A9)</x:f>
        <x:v>15</x:v>
      </x:c>
      <x:c r="K9" s="5">
        <x:f>WEEKNUM(A9,2)</x:f>
        <x:v>27</x:v>
      </x:c>
      <x:c r="L9" s="5">
        <x:f>ISOWEEKNUM(A9)</x:f>
        <x:v>27</x:v>
      </x:c>
      <x:c r="M9" s="5" t="str">
        <x:f>TRIM(CLEAN(B9))</x:f>
        <x:v>Monthly salary</x:v>
      </x:c>
      <x:c r="N9" s="5" t="str">
        <x:f>UPPER(M9)</x:f>
        <x:v>MONTHLY SALARY</x:v>
      </x:c>
      <x:c r="O9" s="5" t="str">
        <x:f>LOWER(M9)</x:f>
        <x:v>monthly salary</x:v>
      </x:c>
      <x:c r="P9" s="3" t="str">
        <x:f>PROPER(M9)</x:f>
        <x:v>Monthly Salary</x:v>
      </x:c>
      <x:c r="Q9" s="3">
        <x:f>LEN(M9)</x:f>
        <x:v>14</x:v>
      </x:c>
      <x:c r="R9" s="3" t="b">
        <x:f>ISBLANK(B9)</x:f>
        <x:v>0</x:v>
      </x:c>
      <x:c r="S9" s="3">
        <x:f>SIGN(E9)</x:f>
        <x:v>1</x:v>
      </x:c>
      <x:c r="T9" s="3" t="b">
        <x:f>ISEVEN(ROW())</x:f>
        <x:v>0</x:v>
      </x:c>
      <x:c r="U9" s="3" t="b">
        <x:f>ISODD(ROW())</x:f>
        <x:v>1</x:v>
      </x:c>
    </x:row>
    <x:row r="10">
      <x:c r="A10" s="2" t="n">
        <x:v>45894</x:v>
      </x:c>
      <x:c r="B10" s="3" t="inlineStr">
        <x:is>
          <x:t xml:space="preserve">Ad spend
</x:t>
        </x:is>
      </x:c>
      <x:c r="C10" s="3" t="inlineStr">
        <x:is>
          <x:t xml:space="preserve">Travel</x:t>
        </x:is>
      </x:c>
      <x:c r="D10" s="3" t="inlineStr">
        <x:is>
          <x:t xml:space="preserve">Checking</x:t>
        </x:is>
      </x:c>
      <x:c r="E10" s="4" t="n">
        <x:v>-2362.34</x:v>
      </x:c>
      <x:c r="F10" s="5" t="str">
        <x:f>IF(E10&gt;=0,"Income","Expense")</x:f>
        <x:v>Expense</x:v>
      </x:c>
      <x:c r="G10" s="6">
        <x:f>ABS(E10)</x:f>
        <x:v>2362.34</x:v>
      </x:c>
      <x:c r="H10" s="4">
        <x:f>ROUND(E10,2)</x:f>
        <x:v>-2362.34</x:v>
      </x:c>
      <x:c r="I10" s="5">
        <x:f>MONTH(A10)</x:f>
        <x:v>15</x:v>
      </x:c>
      <x:c r="J10" s="5">
        <x:f>YEAR(A10)</x:f>
        <x:v>15</x:v>
      </x:c>
      <x:c r="K10" s="5">
        <x:f>WEEKNUM(A10,2)</x:f>
        <x:v>35</x:v>
      </x:c>
      <x:c r="L10" s="5">
        <x:f>ISOWEEKNUM(A10)</x:f>
        <x:v>35</x:v>
      </x:c>
      <x:c r="M10" s="5" t="str">
        <x:f>TRIM(CLEAN(B10))</x:f>
        <x:v>Ad spend</x:v>
      </x:c>
      <x:c r="N10" s="5" t="str">
        <x:f>UPPER(M10)</x:f>
        <x:v>AD SPEND</x:v>
      </x:c>
      <x:c r="O10" s="5" t="str">
        <x:f>LOWER(M10)</x:f>
        <x:v>ad spend</x:v>
      </x:c>
      <x:c r="P10" s="3" t="str">
        <x:f>PROPER(M10)</x:f>
        <x:v>Ad Spend</x:v>
      </x:c>
      <x:c r="Q10" s="3">
        <x:f>LEN(M10)</x:f>
        <x:v>8</x:v>
      </x:c>
      <x:c r="R10" s="3" t="b">
        <x:f>ISBLANK(B10)</x:f>
        <x:v>0</x:v>
      </x:c>
      <x:c r="S10" s="3">
        <x:f>SIGN(E10)</x:f>
        <x:v>-1</x:v>
      </x:c>
      <x:c r="T10" s="3" t="b">
        <x:f>ISEVEN(ROW())</x:f>
        <x:v>1</x:v>
      </x:c>
      <x:c r="U10" s="3" t="b">
        <x:f>ISODD(ROW())</x:f>
        <x:v>0</x:v>
      </x:c>
    </x:row>
    <x:row r="11">
      <x:c r="A11" s="2" t="n">
        <x:v>45819</x:v>
      </x:c>
      <x:c r="B11" s="3" t="inlineStr">
        <x:is>
          <x:t xml:space="preserve">Business trip</x:t>
        </x:is>
      </x:c>
      <x:c r="C11" s="3" t="inlineStr">
        <x:is>
          <x:t xml:space="preserve">Groceries</x:t>
        </x:is>
      </x:c>
      <x:c r="D11" s="3" t="inlineStr">
        <x:is>
          <x:t xml:space="preserve">Savings</x:t>
        </x:is>
      </x:c>
      <x:c r="E11" s="4" t="n">
        <x:v>-2558.08</x:v>
      </x:c>
      <x:c r="F11" s="5" t="str">
        <x:f>IF(E11&gt;=0,"Income","Expense")</x:f>
        <x:v>Expense</x:v>
      </x:c>
      <x:c r="G11" s="6">
        <x:f>ABS(E11)</x:f>
        <x:v>2558.08</x:v>
      </x:c>
      <x:c r="H11" s="4">
        <x:f>ROUND(E11,2)</x:f>
        <x:v>-2558.08</x:v>
      </x:c>
      <x:c r="I11" s="5">
        <x:f>MONTH(A11)</x:f>
        <x:v>15</x:v>
      </x:c>
      <x:c r="J11" s="5">
        <x:f>YEAR(A11)</x:f>
        <x:v>15</x:v>
      </x:c>
      <x:c r="K11" s="5">
        <x:f>WEEKNUM(A11,2)</x:f>
        <x:v>24</x:v>
      </x:c>
      <x:c r="L11" s="5">
        <x:f>ISOWEEKNUM(A11)</x:f>
        <x:v>24</x:v>
      </x:c>
      <x:c r="M11" s="5" t="str">
        <x:f>TRIM(CLEAN(B11))</x:f>
        <x:v>Business trip</x:v>
      </x:c>
      <x:c r="N11" s="5" t="str">
        <x:f>UPPER(M11)</x:f>
        <x:v>BUSINESS TRIP</x:v>
      </x:c>
      <x:c r="O11" s="5" t="str">
        <x:f>LOWER(M11)</x:f>
        <x:v>business trip</x:v>
      </x:c>
      <x:c r="P11" s="3" t="str">
        <x:f>PROPER(M11)</x:f>
        <x:v>Business Trip</x:v>
      </x:c>
      <x:c r="Q11" s="3">
        <x:f>LEN(M11)</x:f>
        <x:v>13</x:v>
      </x:c>
      <x:c r="R11" s="3" t="b">
        <x:f>ISBLANK(B11)</x:f>
        <x:v>0</x:v>
      </x:c>
      <x:c r="S11" s="3">
        <x:f>SIGN(E11)</x:f>
        <x:v>-1</x:v>
      </x:c>
      <x:c r="T11" s="3" t="b">
        <x:f>ISEVEN(ROW())</x:f>
        <x:v>0</x:v>
      </x:c>
      <x:c r="U11" s="3" t="b">
        <x:f>ISODD(ROW())</x:f>
        <x:v>1</x:v>
      </x:c>
    </x:row>
    <x:row r="12">
      <x:c r="A12" s="2" t="n">
        <x:v>45993</x:v>
      </x:c>
      <x:c r="B12" s="3" t="inlineStr">
        <x:is>
          <x:t xml:space="preserve">Electric bill</x:t>
        </x:is>
      </x:c>
      <x:c r="C12" s="3" t="inlineStr">
        <x:is>
          <x:t xml:space="preserve">Tax</x:t>
        </x:is>
      </x:c>
      <x:c r="D12" s="3" t="inlineStr">
        <x:is>
          <x:t xml:space="preserve">Checking</x:t>
        </x:is>
      </x:c>
      <x:c r="E12" s="4" t="n">
        <x:v>-752.6900000000001</x:v>
      </x:c>
      <x:c r="F12" s="5" t="str">
        <x:f>IF(E12&gt;=0,"Income","Expense")</x:f>
        <x:v>Expense</x:v>
      </x:c>
      <x:c r="G12" s="6">
        <x:f>ABS(E12)</x:f>
        <x:v>752.69</x:v>
      </x:c>
      <x:c r="H12" s="4">
        <x:f>ROUND(E12,2)</x:f>
        <x:v>-752.69</x:v>
      </x:c>
      <x:c r="I12" s="5">
        <x:f>MONTH(A12)</x:f>
        <x:v>15</x:v>
      </x:c>
      <x:c r="J12" s="5">
        <x:f>YEAR(A12)</x:f>
        <x:v>15</x:v>
      </x:c>
      <x:c r="K12" s="5">
        <x:f>WEEKNUM(A12,2)</x:f>
        <x:v>49</x:v>
      </x:c>
      <x:c r="L12" s="5">
        <x:f>ISOWEEKNUM(A12)</x:f>
        <x:v>49</x:v>
      </x:c>
      <x:c r="M12" s="5" t="str">
        <x:f>TRIM(CLEAN(B12))</x:f>
        <x:v>Electric bill</x:v>
      </x:c>
      <x:c r="N12" s="5" t="str">
        <x:f>UPPER(M12)</x:f>
        <x:v>ELECTRIC BILL</x:v>
      </x:c>
      <x:c r="O12" s="5" t="str">
        <x:f>LOWER(M12)</x:f>
        <x:v>electric bill</x:v>
      </x:c>
      <x:c r="P12" s="3" t="str">
        <x:f>PROPER(M12)</x:f>
        <x:v>Electric Bill</x:v>
      </x:c>
      <x:c r="Q12" s="3">
        <x:f>LEN(M12)</x:f>
        <x:v>13</x:v>
      </x:c>
      <x:c r="R12" s="3" t="b">
        <x:f>ISBLANK(B12)</x:f>
        <x:v>0</x:v>
      </x:c>
      <x:c r="S12" s="3">
        <x:f>SIGN(E12)</x:f>
        <x:v>-1</x:v>
      </x:c>
      <x:c r="T12" s="3" t="b">
        <x:f>ISEVEN(ROW())</x:f>
        <x:v>1</x:v>
      </x:c>
      <x:c r="U12" s="3" t="b">
        <x:f>ISODD(ROW())</x:f>
        <x:v>0</x:v>
      </x:c>
    </x:row>
    <x:row r="13">
      <x:c r="A13" s="2" t="n">
        <x:v>45957</x:v>
      </x:c>
      <x:c r="B13" s="3" t="inlineStr">
        <x:is>
          <x:t xml:space="preserve">Ad spend
</x:t>
        </x:is>
      </x:c>
      <x:c r="C13" s="3" t="inlineStr">
        <x:is>
          <x:t xml:space="preserve">Insurance</x:t>
        </x:is>
      </x:c>
      <x:c r="D13" s="3" t="inlineStr">
        <x:is>
          <x:t xml:space="preserve">Checking</x:t>
        </x:is>
      </x:c>
      <x:c r="E13" s="4" t="n">
        <x:v>-625.8099999999999</x:v>
      </x:c>
      <x:c r="F13" s="5" t="str">
        <x:f>IF(E13&gt;=0,"Income","Expense")</x:f>
        <x:v>Expense</x:v>
      </x:c>
      <x:c r="G13" s="6">
        <x:f>ABS(E13)</x:f>
        <x:v>625.81</x:v>
      </x:c>
      <x:c r="H13" s="4">
        <x:f>ROUND(E13,2)</x:f>
        <x:v>-625.81</x:v>
      </x:c>
      <x:c r="I13" s="5">
        <x:f>MONTH(A13)</x:f>
        <x:v>15</x:v>
      </x:c>
      <x:c r="J13" s="5">
        <x:f>YEAR(A13)</x:f>
        <x:v>15</x:v>
      </x:c>
      <x:c r="K13" s="5">
        <x:f>WEEKNUM(A13,2)</x:f>
        <x:v>44</x:v>
      </x:c>
      <x:c r="L13" s="5">
        <x:f>ISOWEEKNUM(A13)</x:f>
        <x:v>44</x:v>
      </x:c>
      <x:c r="M13" s="5" t="str">
        <x:f>TRIM(CLEAN(B13))</x:f>
        <x:v>Ad spend</x:v>
      </x:c>
      <x:c r="N13" s="5" t="str">
        <x:f>UPPER(M13)</x:f>
        <x:v>AD SPEND</x:v>
      </x:c>
      <x:c r="O13" s="5" t="str">
        <x:f>LOWER(M13)</x:f>
        <x:v>ad spend</x:v>
      </x:c>
      <x:c r="P13" s="3" t="str">
        <x:f>PROPER(M13)</x:f>
        <x:v>Ad Spend</x:v>
      </x:c>
      <x:c r="Q13" s="3">
        <x:f>LEN(M13)</x:f>
        <x:v>8</x:v>
      </x:c>
      <x:c r="R13" s="3" t="b">
        <x:f>ISBLANK(B13)</x:f>
        <x:v>0</x:v>
      </x:c>
      <x:c r="S13" s="3">
        <x:f>SIGN(E13)</x:f>
        <x:v>-1</x:v>
      </x:c>
      <x:c r="T13" s="3" t="b">
        <x:f>ISEVEN(ROW())</x:f>
        <x:v>0</x:v>
      </x:c>
      <x:c r="U13" s="3" t="b">
        <x:f>ISODD(ROW())</x:f>
        <x:v>1</x:v>
      </x:c>
    </x:row>
    <x:row r="14">
      <x:c r="A14" s="2" t="n">
        <x:v>45682</x:v>
      </x:c>
      <x:c r="B14" s="3" t="inlineStr">
        <x:is>
          <x:t xml:space="preserve">Electric bill</x:t>
        </x:is>
      </x:c>
      <x:c r="C14" s="3" t="inlineStr">
        <x:is>
          <x:t xml:space="preserve">Utilities</x:t>
        </x:is>
      </x:c>
      <x:c r="D14" s="3" t="inlineStr">
        <x:is>
          <x:t xml:space="preserve">Credit Card</x:t>
        </x:is>
      </x:c>
      <x:c r="E14" s="4" t="n">
        <x:v>-2220.94</x:v>
      </x:c>
      <x:c r="F14" s="5" t="str">
        <x:f>IF(E14&gt;=0,"Income","Expense")</x:f>
        <x:v>Expense</x:v>
      </x:c>
      <x:c r="G14" s="6">
        <x:f>ABS(E14)</x:f>
        <x:v>2220.94</x:v>
      </x:c>
      <x:c r="H14" s="4">
        <x:f>ROUND(E14,2)</x:f>
        <x:v>-2220.94</x:v>
      </x:c>
      <x:c r="I14" s="5">
        <x:f>MONTH(A14)</x:f>
        <x:v>15</x:v>
      </x:c>
      <x:c r="J14" s="5">
        <x:f>YEAR(A14)</x:f>
        <x:v>15</x:v>
      </x:c>
      <x:c r="K14" s="5">
        <x:f>WEEKNUM(A14,2)</x:f>
        <x:v>4</x:v>
      </x:c>
      <x:c r="L14" s="5">
        <x:f>ISOWEEKNUM(A14)</x:f>
        <x:v>4</x:v>
      </x:c>
      <x:c r="M14" s="5" t="str">
        <x:f>TRIM(CLEAN(B14))</x:f>
        <x:v>Electric bill</x:v>
      </x:c>
      <x:c r="N14" s="5" t="str">
        <x:f>UPPER(M14)</x:f>
        <x:v>ELECTRIC BILL</x:v>
      </x:c>
      <x:c r="O14" s="5" t="str">
        <x:f>LOWER(M14)</x:f>
        <x:v>electric bill</x:v>
      </x:c>
      <x:c r="P14" s="3" t="str">
        <x:f>PROPER(M14)</x:f>
        <x:v>Electric Bill</x:v>
      </x:c>
      <x:c r="Q14" s="3">
        <x:f>LEN(M14)</x:f>
        <x:v>13</x:v>
      </x:c>
      <x:c r="R14" s="3" t="b">
        <x:f>ISBLANK(B14)</x:f>
        <x:v>0</x:v>
      </x:c>
      <x:c r="S14" s="3">
        <x:f>SIGN(E14)</x:f>
        <x:v>-1</x:v>
      </x:c>
      <x:c r="T14" s="3" t="b">
        <x:f>ISEVEN(ROW())</x:f>
        <x:v>1</x:v>
      </x:c>
      <x:c r="U14" s="3" t="b">
        <x:f>ISODD(ROW())</x:f>
        <x:v>0</x:v>
      </x:c>
    </x:row>
    <x:row r="15">
      <x:c r="A15" s="2" t="n">
        <x:v>45963</x:v>
      </x:c>
      <x:c r="B15" s="3" t="inlineStr">
        <x:is>
          <x:t xml:space="preserve">Apartment rent</x:t>
        </x:is>
      </x:c>
      <x:c r="C15" s="3" t="inlineStr">
        <x:is>
          <x:t xml:space="preserve">Software</x:t>
        </x:is>
      </x:c>
      <x:c r="D15" s="3" t="inlineStr">
        <x:is>
          <x:t xml:space="preserve">Checking</x:t>
        </x:is>
      </x:c>
      <x:c r="E15" s="4" t="n">
        <x:v>-1909.59</x:v>
      </x:c>
      <x:c r="F15" s="5" t="str">
        <x:f>IF(E15&gt;=0,"Income","Expense")</x:f>
        <x:v>Expense</x:v>
      </x:c>
      <x:c r="G15" s="6">
        <x:f>ABS(E15)</x:f>
        <x:v>1909.59</x:v>
      </x:c>
      <x:c r="H15" s="4">
        <x:f>ROUND(E15,2)</x:f>
        <x:v>-1909.59</x:v>
      </x:c>
      <x:c r="I15" s="5">
        <x:f>MONTH(A15)</x:f>
        <x:v>15</x:v>
      </x:c>
      <x:c r="J15" s="5">
        <x:f>YEAR(A15)</x:f>
        <x:v>15</x:v>
      </x:c>
      <x:c r="K15" s="5">
        <x:f>WEEKNUM(A15,2)</x:f>
        <x:v>44</x:v>
      </x:c>
      <x:c r="L15" s="5">
        <x:f>ISOWEEKNUM(A15)</x:f>
        <x:v>44</x:v>
      </x:c>
      <x:c r="M15" s="5" t="str">
        <x:f>TRIM(CLEAN(B15))</x:f>
        <x:v>Apartment rent</x:v>
      </x:c>
      <x:c r="N15" s="5" t="str">
        <x:f>UPPER(M15)</x:f>
        <x:v>APARTMENT RENT</x:v>
      </x:c>
      <x:c r="O15" s="5" t="str">
        <x:f>LOWER(M15)</x:f>
        <x:v>apartment rent</x:v>
      </x:c>
      <x:c r="P15" s="3" t="str">
        <x:f>PROPER(M15)</x:f>
        <x:v>Apartment Rent</x:v>
      </x:c>
      <x:c r="Q15" s="3">
        <x:f>LEN(M15)</x:f>
        <x:v>14</x:v>
      </x:c>
      <x:c r="R15" s="3" t="b">
        <x:f>ISBLANK(B15)</x:f>
        <x:v>0</x:v>
      </x:c>
      <x:c r="S15" s="3">
        <x:f>SIGN(E15)</x:f>
        <x:v>-1</x:v>
      </x:c>
      <x:c r="T15" s="3" t="b">
        <x:f>ISEVEN(ROW())</x:f>
        <x:v>0</x:v>
      </x:c>
      <x:c r="U15" s="3" t="b">
        <x:f>ISODD(ROW())</x:f>
        <x:v>1</x:v>
      </x:c>
    </x:row>
    <x:row r="16">
      <x:c r="A16" s="2" t="n">
        <x:v>45794</x:v>
      </x:c>
      <x:c r="B16" s="3" t="inlineStr">
        <x:is>
          <x:t xml:space="preserve">Grocery store</x:t>
        </x:is>
      </x:c>
      <x:c r="C16" s="3" t="inlineStr">
        <x:is>
          <x:t xml:space="preserve">Marketing</x:t>
        </x:is>
      </x:c>
      <x:c r="D16" s="3" t="inlineStr">
        <x:is>
          <x:t xml:space="preserve">Checking</x:t>
        </x:is>
      </x:c>
      <x:c r="E16" s="4" t="n">
        <x:v>-832.4</x:v>
      </x:c>
      <x:c r="F16" s="5" t="str">
        <x:f>IF(E16&gt;=0,"Income","Expense")</x:f>
        <x:v>Expense</x:v>
      </x:c>
      <x:c r="G16" s="6">
        <x:f>ABS(E16)</x:f>
        <x:v>832.4</x:v>
      </x:c>
      <x:c r="H16" s="4">
        <x:f>ROUND(E16,2)</x:f>
        <x:v>-832.4</x:v>
      </x:c>
      <x:c r="I16" s="5">
        <x:f>MONTH(A16)</x:f>
        <x:v>15</x:v>
      </x:c>
      <x:c r="J16" s="5">
        <x:f>YEAR(A16)</x:f>
        <x:v>15</x:v>
      </x:c>
      <x:c r="K16" s="5">
        <x:f>WEEKNUM(A16,2)</x:f>
        <x:v>20</x:v>
      </x:c>
      <x:c r="L16" s="5">
        <x:f>ISOWEEKNUM(A16)</x:f>
        <x:v>20</x:v>
      </x:c>
      <x:c r="M16" s="5" t="str">
        <x:f>TRIM(CLEAN(B16))</x:f>
        <x:v>Grocery store</x:v>
      </x:c>
      <x:c r="N16" s="5" t="str">
        <x:f>UPPER(M16)</x:f>
        <x:v>GROCERY STORE</x:v>
      </x:c>
      <x:c r="O16" s="5" t="str">
        <x:f>LOWER(M16)</x:f>
        <x:v>grocery store</x:v>
      </x:c>
      <x:c r="P16" s="3" t="str">
        <x:f>PROPER(M16)</x:f>
        <x:v>Grocery Store</x:v>
      </x:c>
      <x:c r="Q16" s="3">
        <x:f>LEN(M16)</x:f>
        <x:v>13</x:v>
      </x:c>
      <x:c r="R16" s="3" t="b">
        <x:f>ISBLANK(B16)</x:f>
        <x:v>0</x:v>
      </x:c>
      <x:c r="S16" s="3">
        <x:f>SIGN(E16)</x:f>
        <x:v>-1</x:v>
      </x:c>
      <x:c r="T16" s="3" t="b">
        <x:f>ISEVEN(ROW())</x:f>
        <x:v>1</x:v>
      </x:c>
      <x:c r="U16" s="3" t="b">
        <x:f>ISODD(ROW())</x:f>
        <x:v>0</x:v>
      </x:c>
    </x:row>
    <x:row r="17">
      <x:c r="A17" s="2" t="n">
        <x:v>45792</x:v>
      </x:c>
      <x:c r="B17" s="3" t="inlineStr">
        <x:is>
          <x:t xml:space="preserve">Grocery store</x:t>
        </x:is>
      </x:c>
      <x:c r="C17" s="3" t="inlineStr">
        <x:is>
          <x:t xml:space="preserve">Utilities</x:t>
        </x:is>
      </x:c>
      <x:c r="D17" s="3" t="inlineStr">
        <x:is>
          <x:t xml:space="preserve">Credit Card</x:t>
        </x:is>
      </x:c>
      <x:c r="E17" s="4" t="n">
        <x:v>-2439.39</x:v>
      </x:c>
      <x:c r="F17" s="5" t="str">
        <x:f>IF(E17&gt;=0,"Income","Expense")</x:f>
        <x:v>Expense</x:v>
      </x:c>
      <x:c r="G17" s="6">
        <x:f>ABS(E17)</x:f>
        <x:v>2439.39</x:v>
      </x:c>
      <x:c r="H17" s="4">
        <x:f>ROUND(E17,2)</x:f>
        <x:v>-2439.39</x:v>
      </x:c>
      <x:c r="I17" s="5">
        <x:f>MONTH(A17)</x:f>
        <x:v>15</x:v>
      </x:c>
      <x:c r="J17" s="5">
        <x:f>YEAR(A17)</x:f>
        <x:v>15</x:v>
      </x:c>
      <x:c r="K17" s="5">
        <x:f>WEEKNUM(A17,2)</x:f>
        <x:v>20</x:v>
      </x:c>
      <x:c r="L17" s="5">
        <x:f>ISOWEEKNUM(A17)</x:f>
        <x:v>20</x:v>
      </x:c>
      <x:c r="M17" s="5" t="str">
        <x:f>TRIM(CLEAN(B17))</x:f>
        <x:v>Grocery store</x:v>
      </x:c>
      <x:c r="N17" s="5" t="str">
        <x:f>UPPER(M17)</x:f>
        <x:v>GROCERY STORE</x:v>
      </x:c>
      <x:c r="O17" s="5" t="str">
        <x:f>LOWER(M17)</x:f>
        <x:v>grocery store</x:v>
      </x:c>
      <x:c r="P17" s="3" t="str">
        <x:f>PROPER(M17)</x:f>
        <x:v>Grocery Store</x:v>
      </x:c>
      <x:c r="Q17" s="3">
        <x:f>LEN(M17)</x:f>
        <x:v>13</x:v>
      </x:c>
      <x:c r="R17" s="3" t="b">
        <x:f>ISBLANK(B17)</x:f>
        <x:v>0</x:v>
      </x:c>
      <x:c r="S17" s="3">
        <x:f>SIGN(E17)</x:f>
        <x:v>-1</x:v>
      </x:c>
      <x:c r="T17" s="3" t="b">
        <x:f>ISEVEN(ROW())</x:f>
        <x:v>0</x:v>
      </x:c>
      <x:c r="U17" s="3" t="b">
        <x:f>ISODD(ROW())</x:f>
        <x:v>1</x:v>
      </x:c>
    </x:row>
    <x:row r="18">
      <x:c r="A18" s="2" t="n">
        <x:v>45759</x:v>
      </x:c>
      <x:c r="B18" s="3" t="inlineStr">
        <x:is>
          <x:t xml:space="preserve">Monthly salary  </x:t>
        </x:is>
      </x:c>
      <x:c r="C18" s="3" t="inlineStr">
        <x:is>
          <x:t xml:space="preserve">Consulting</x:t>
        </x:is>
      </x:c>
      <x:c r="D18" s="3" t="inlineStr">
        <x:is>
          <x:t xml:space="preserve">Savings</x:t>
        </x:is>
      </x:c>
      <x:c r="E18" s="4" t="n">
        <x:v>4093.67</x:v>
      </x:c>
      <x:c r="F18" s="5" t="str">
        <x:f>IF(E18&gt;=0,"Income","Expense")</x:f>
        <x:v>Income</x:v>
      </x:c>
      <x:c r="G18" s="6">
        <x:f>ABS(E18)</x:f>
        <x:v>4093.67</x:v>
      </x:c>
      <x:c r="H18" s="4">
        <x:f>ROUND(E18,2)</x:f>
        <x:v>4093.67</x:v>
      </x:c>
      <x:c r="I18" s="5">
        <x:f>MONTH(A18)</x:f>
        <x:v>15</x:v>
      </x:c>
      <x:c r="J18" s="5">
        <x:f>YEAR(A18)</x:f>
        <x:v>15</x:v>
      </x:c>
      <x:c r="K18" s="5">
        <x:f>WEEKNUM(A18,2)</x:f>
        <x:v>15</x:v>
      </x:c>
      <x:c r="L18" s="5">
        <x:f>ISOWEEKNUM(A18)</x:f>
        <x:v>15</x:v>
      </x:c>
      <x:c r="M18" s="5" t="str">
        <x:f>TRIM(CLEAN(B18))</x:f>
        <x:v>Monthly salary</x:v>
      </x:c>
      <x:c r="N18" s="5" t="str">
        <x:f>UPPER(M18)</x:f>
        <x:v>MONTHLY SALARY</x:v>
      </x:c>
      <x:c r="O18" s="5" t="str">
        <x:f>LOWER(M18)</x:f>
        <x:v>monthly salary</x:v>
      </x:c>
      <x:c r="P18" s="3" t="str">
        <x:f>PROPER(M18)</x:f>
        <x:v>Monthly Salary</x:v>
      </x:c>
      <x:c r="Q18" s="3">
        <x:f>LEN(M18)</x:f>
        <x:v>14</x:v>
      </x:c>
      <x:c r="R18" s="3" t="b">
        <x:f>ISBLANK(B18)</x:f>
        <x:v>0</x:v>
      </x:c>
      <x:c r="S18" s="3">
        <x:f>SIGN(E18)</x:f>
        <x:v>1</x:v>
      </x:c>
      <x:c r="T18" s="3" t="b">
        <x:f>ISEVEN(ROW())</x:f>
        <x:v>1</x:v>
      </x:c>
      <x:c r="U18" s="3" t="b">
        <x:f>ISODD(ROW())</x:f>
        <x:v>0</x:v>
      </x:c>
    </x:row>
    <x:row r="19">
      <x:c r="A19" s="2" t="n">
        <x:v>45815</x:v>
      </x:c>
      <x:c r="B19" s="3" t="inlineStr">
        <x:is>
          <x:t xml:space="preserve">Monthly salary</x:t>
        </x:is>
      </x:c>
      <x:c r="C19" s="3" t="inlineStr">
        <x:is>
          <x:t xml:space="preserve">Consulting</x:t>
        </x:is>
      </x:c>
      <x:c r="D19" s="3" t="inlineStr">
        <x:is>
          <x:t xml:space="preserve">Savings</x:t>
        </x:is>
      </x:c>
      <x:c r="E19" s="4" t="n">
        <x:v>1013.92</x:v>
      </x:c>
      <x:c r="F19" s="5" t="str">
        <x:f>IF(E19&gt;=0,"Income","Expense")</x:f>
        <x:v>Income</x:v>
      </x:c>
      <x:c r="G19" s="6">
        <x:f>ABS(E19)</x:f>
        <x:v>1013.92</x:v>
      </x:c>
      <x:c r="H19" s="4">
        <x:f>ROUND(E19,2)</x:f>
        <x:v>1013.92</x:v>
      </x:c>
      <x:c r="I19" s="5">
        <x:f>MONTH(A19)</x:f>
        <x:v>15</x:v>
      </x:c>
      <x:c r="J19" s="5">
        <x:f>YEAR(A19)</x:f>
        <x:v>15</x:v>
      </x:c>
      <x:c r="K19" s="5">
        <x:f>WEEKNUM(A19,2)</x:f>
        <x:v>23</x:v>
      </x:c>
      <x:c r="L19" s="5">
        <x:f>ISOWEEKNUM(A19)</x:f>
        <x:v>23</x:v>
      </x:c>
      <x:c r="M19" s="5" t="str">
        <x:f>TRIM(CLEAN(B19))</x:f>
        <x:v>Monthly salary</x:v>
      </x:c>
      <x:c r="N19" s="5" t="str">
        <x:f>UPPER(M19)</x:f>
        <x:v>MONTHLY SALARY</x:v>
      </x:c>
      <x:c r="O19" s="5" t="str">
        <x:f>LOWER(M19)</x:f>
        <x:v>monthly salary</x:v>
      </x:c>
      <x:c r="P19" s="3" t="str">
        <x:f>PROPER(M19)</x:f>
        <x:v>Monthly Salary</x:v>
      </x:c>
      <x:c r="Q19" s="3">
        <x:f>LEN(M19)</x:f>
        <x:v>14</x:v>
      </x:c>
      <x:c r="R19" s="3" t="b">
        <x:f>ISBLANK(B19)</x:f>
        <x:v>0</x:v>
      </x:c>
      <x:c r="S19" s="3">
        <x:f>SIGN(E19)</x:f>
        <x:v>1</x:v>
      </x:c>
      <x:c r="T19" s="3" t="b">
        <x:f>ISEVEN(ROW())</x:f>
        <x:v>0</x:v>
      </x:c>
      <x:c r="U19" s="3" t="b">
        <x:f>ISODD(ROW())</x:f>
        <x:v>1</x:v>
      </x:c>
    </x:row>
    <x:row r="20">
      <x:c r="A20" s="2" t="n">
        <x:v>45930</x:v>
      </x:c>
      <x:c r="B20" s="3" t="inlineStr">
        <x:is>
          <x:t xml:space="preserve">Estimated tax</x:t>
        </x:is>
      </x:c>
      <x:c r="C20" s="3" t="inlineStr">
        <x:is>
          <x:t xml:space="preserve">Utilities</x:t>
        </x:is>
      </x:c>
      <x:c r="D20" s="3" t="inlineStr">
        <x:is>
          <x:t xml:space="preserve">Checking</x:t>
        </x:is>
      </x:c>
      <x:c r="E20" s="4" t="n">
        <x:v>-2651.97</x:v>
      </x:c>
      <x:c r="F20" s="5" t="str">
        <x:f>IF(E20&gt;=0,"Income","Expense")</x:f>
        <x:v>Expense</x:v>
      </x:c>
      <x:c r="G20" s="6">
        <x:f>ABS(E20)</x:f>
        <x:v>2651.97</x:v>
      </x:c>
      <x:c r="H20" s="4">
        <x:f>ROUND(E20,2)</x:f>
        <x:v>-2651.97</x:v>
      </x:c>
      <x:c r="I20" s="5">
        <x:f>MONTH(A20)</x:f>
        <x:v>15</x:v>
      </x:c>
      <x:c r="J20" s="5">
        <x:f>YEAR(A20)</x:f>
        <x:v>15</x:v>
      </x:c>
      <x:c r="K20" s="5">
        <x:f>WEEKNUM(A20,2)</x:f>
        <x:v>40</x:v>
      </x:c>
      <x:c r="L20" s="5">
        <x:f>ISOWEEKNUM(A20)</x:f>
        <x:v>40</x:v>
      </x:c>
      <x:c r="M20" s="5" t="str">
        <x:f>TRIM(CLEAN(B20))</x:f>
        <x:v>Estimated tax</x:v>
      </x:c>
      <x:c r="N20" s="5" t="str">
        <x:f>UPPER(M20)</x:f>
        <x:v>ESTIMATED TAX</x:v>
      </x:c>
      <x:c r="O20" s="5" t="str">
        <x:f>LOWER(M20)</x:f>
        <x:v>estimated tax</x:v>
      </x:c>
      <x:c r="P20" s="3" t="str">
        <x:f>PROPER(M20)</x:f>
        <x:v>Estimated Tax</x:v>
      </x:c>
      <x:c r="Q20" s="3">
        <x:f>LEN(M20)</x:f>
        <x:v>13</x:v>
      </x:c>
      <x:c r="R20" s="3" t="b">
        <x:f>ISBLANK(B20)</x:f>
        <x:v>0</x:v>
      </x:c>
      <x:c r="S20" s="3">
        <x:f>SIGN(E20)</x:f>
        <x:v>-1</x:v>
      </x:c>
      <x:c r="T20" s="3" t="b">
        <x:f>ISEVEN(ROW())</x:f>
        <x:v>1</x:v>
      </x:c>
      <x:c r="U20" s="3" t="b">
        <x:f>ISODD(ROW())</x:f>
        <x:v>0</x:v>
      </x:c>
    </x:row>
    <x:row r="21">
      <x:c r="A21" s="2" t="n">
        <x:v>45874</x:v>
      </x:c>
      <x:c r="B21" s="3" t="inlineStr">
        <x:is>
          <x:t xml:space="preserve">SaaS subscription</x:t>
        </x:is>
      </x:c>
      <x:c r="C21" s="3" t="inlineStr">
        <x:is>
          <x:t xml:space="preserve">Travel</x:t>
        </x:is>
      </x:c>
      <x:c r="D21" s="3" t="inlineStr">
        <x:is>
          <x:t xml:space="preserve">Savings</x:t>
        </x:is>
      </x:c>
      <x:c r="E21" s="4" t="n">
        <x:v>-1126.19</x:v>
      </x:c>
      <x:c r="F21" s="5" t="str">
        <x:f>IF(E21&gt;=0,"Income","Expense")</x:f>
        <x:v>Expense</x:v>
      </x:c>
      <x:c r="G21" s="6">
        <x:f>ABS(E21)</x:f>
        <x:v>1126.19</x:v>
      </x:c>
      <x:c r="H21" s="4">
        <x:f>ROUND(E21,2)</x:f>
        <x:v>-1126.19</x:v>
      </x:c>
      <x:c r="I21" s="5">
        <x:f>MONTH(A21)</x:f>
        <x:v>15</x:v>
      </x:c>
      <x:c r="J21" s="5">
        <x:f>YEAR(A21)</x:f>
        <x:v>15</x:v>
      </x:c>
      <x:c r="K21" s="5">
        <x:f>WEEKNUM(A21,2)</x:f>
        <x:v>32</x:v>
      </x:c>
      <x:c r="L21" s="5">
        <x:f>ISOWEEKNUM(A21)</x:f>
        <x:v>32</x:v>
      </x:c>
      <x:c r="M21" s="5" t="str">
        <x:f>TRIM(CLEAN(B21))</x:f>
        <x:v>SaaS subscription</x:v>
      </x:c>
      <x:c r="N21" s="5" t="str">
        <x:f>UPPER(M21)</x:f>
        <x:v>SAAS SUBSCRIPTION</x:v>
      </x:c>
      <x:c r="O21" s="5" t="str">
        <x:f>LOWER(M21)</x:f>
        <x:v>saas subscription</x:v>
      </x:c>
      <x:c r="P21" s="3" t="str">
        <x:f>PROPER(M21)</x:f>
        <x:v>Saas Subscription</x:v>
      </x:c>
      <x:c r="Q21" s="3">
        <x:f>LEN(M21)</x:f>
        <x:v>17</x:v>
      </x:c>
      <x:c r="R21" s="3" t="b">
        <x:f>ISBLANK(B21)</x:f>
        <x:v>0</x:v>
      </x:c>
      <x:c r="S21" s="3">
        <x:f>SIGN(E21)</x:f>
        <x:v>-1</x:v>
      </x:c>
      <x:c r="T21" s="3" t="b">
        <x:f>ISEVEN(ROW())</x:f>
        <x:v>0</x:v>
      </x:c>
      <x:c r="U21" s="3" t="b">
        <x:f>ISODD(ROW())</x:f>
        <x:v>1</x:v>
      </x:c>
    </x:row>
    <x:row r="22">
      <x:c r="A22" s="2" t="n">
        <x:v>45922</x:v>
      </x:c>
      <x:c r="B22" s="3" t="inlineStr">
        <x:is>
          <x:t xml:space="preserve">Business trip</x:t>
        </x:is>
      </x:c>
      <x:c r="C22" s="3" t="inlineStr">
        <x:is>
          <x:t xml:space="preserve">Travel</x:t>
        </x:is>
      </x:c>
      <x:c r="D22" s="3" t="inlineStr">
        <x:is>
          <x:t xml:space="preserve">Checking</x:t>
        </x:is>
      </x:c>
      <x:c r="E22" s="4" t="n">
        <x:v>-193.31</x:v>
      </x:c>
      <x:c r="F22" s="5" t="str">
        <x:f>IF(E22&gt;=0,"Income","Expense")</x:f>
        <x:v>Expense</x:v>
      </x:c>
      <x:c r="G22" s="6">
        <x:f>ABS(E22)</x:f>
        <x:v>193.31</x:v>
      </x:c>
      <x:c r="H22" s="4">
        <x:f>ROUND(E22,2)</x:f>
        <x:v>-193.31</x:v>
      </x:c>
      <x:c r="I22" s="5">
        <x:f>MONTH(A22)</x:f>
        <x:v>15</x:v>
      </x:c>
      <x:c r="J22" s="5">
        <x:f>YEAR(A22)</x:f>
        <x:v>15</x:v>
      </x:c>
      <x:c r="K22" s="5">
        <x:f>WEEKNUM(A22,2)</x:f>
        <x:v>39</x:v>
      </x:c>
      <x:c r="L22" s="5">
        <x:f>ISOWEEKNUM(A22)</x:f>
        <x:v>39</x:v>
      </x:c>
      <x:c r="M22" s="5" t="str">
        <x:f>TRIM(CLEAN(B22))</x:f>
        <x:v>Business trip</x:v>
      </x:c>
      <x:c r="N22" s="5" t="str">
        <x:f>UPPER(M22)</x:f>
        <x:v>BUSINESS TRIP</x:v>
      </x:c>
      <x:c r="O22" s="5" t="str">
        <x:f>LOWER(M22)</x:f>
        <x:v>business trip</x:v>
      </x:c>
      <x:c r="P22" s="3" t="str">
        <x:f>PROPER(M22)</x:f>
        <x:v>Business Trip</x:v>
      </x:c>
      <x:c r="Q22" s="3">
        <x:f>LEN(M22)</x:f>
        <x:v>13</x:v>
      </x:c>
      <x:c r="R22" s="3" t="b">
        <x:f>ISBLANK(B22)</x:f>
        <x:v>0</x:v>
      </x:c>
      <x:c r="S22" s="3">
        <x:f>SIGN(E22)</x:f>
        <x:v>-1</x:v>
      </x:c>
      <x:c r="T22" s="3" t="b">
        <x:f>ISEVEN(ROW())</x:f>
        <x:v>1</x:v>
      </x:c>
      <x:c r="U22" s="3" t="b">
        <x:f>ISODD(ROW())</x:f>
        <x:v>0</x:v>
      </x:c>
    </x:row>
    <x:row r="23">
      <x:c r="A23" s="2" t="n">
        <x:v>45770</x:v>
      </x:c>
      <x:c r="B23" s="3" t="inlineStr">
        <x:is>
          <x:t xml:space="preserve">Client invoice
</x:t>
        </x:is>
      </x:c>
      <x:c r="C23" s="3" t="inlineStr">
        <x:is>
          <x:t xml:space="preserve">Salary</x:t>
        </x:is>
      </x:c>
      <x:c r="D23" s="3" t="inlineStr">
        <x:is>
          <x:t xml:space="preserve">Checking</x:t>
        </x:is>
      </x:c>
      <x:c r="E23" s="4" t="n">
        <x:v>904.4</x:v>
      </x:c>
      <x:c r="F23" s="5" t="str">
        <x:f>IF(E23&gt;=0,"Income","Expense")</x:f>
        <x:v>Income</x:v>
      </x:c>
      <x:c r="G23" s="6">
        <x:f>ABS(E23)</x:f>
        <x:v>904.4</x:v>
      </x:c>
      <x:c r="H23" s="4">
        <x:f>ROUND(E23,2)</x:f>
        <x:v>904.4</x:v>
      </x:c>
      <x:c r="I23" s="5">
        <x:f>MONTH(A23)</x:f>
        <x:v>15</x:v>
      </x:c>
      <x:c r="J23" s="5">
        <x:f>YEAR(A23)</x:f>
        <x:v>15</x:v>
      </x:c>
      <x:c r="K23" s="5">
        <x:f>WEEKNUM(A23,2)</x:f>
        <x:v>17</x:v>
      </x:c>
      <x:c r="L23" s="5">
        <x:f>ISOWEEKNUM(A23)</x:f>
        <x:v>17</x:v>
      </x:c>
      <x:c r="M23" s="5" t="str">
        <x:f>TRIM(CLEAN(B23))</x:f>
        <x:v>Client invoice</x:v>
      </x:c>
      <x:c r="N23" s="5" t="str">
        <x:f>UPPER(M23)</x:f>
        <x:v>CLIENT INVOICE</x:v>
      </x:c>
      <x:c r="O23" s="5" t="str">
        <x:f>LOWER(M23)</x:f>
        <x:v>client invoice</x:v>
      </x:c>
      <x:c r="P23" s="3" t="str">
        <x:f>PROPER(M23)</x:f>
        <x:v>Client Invoice</x:v>
      </x:c>
      <x:c r="Q23" s="3">
        <x:f>LEN(M23)</x:f>
        <x:v>14</x:v>
      </x:c>
      <x:c r="R23" s="3" t="b">
        <x:f>ISBLANK(B23)</x:f>
        <x:v>0</x:v>
      </x:c>
      <x:c r="S23" s="3">
        <x:f>SIGN(E23)</x:f>
        <x:v>1</x:v>
      </x:c>
      <x:c r="T23" s="3" t="b">
        <x:f>ISEVEN(ROW())</x:f>
        <x:v>0</x:v>
      </x:c>
      <x:c r="U23" s="3" t="b">
        <x:f>ISODD(ROW())</x:f>
        <x:v>1</x:v>
      </x:c>
    </x:row>
    <x:row r="24">
      <x:c r="A24" s="2" t="n">
        <x:v>45779</x:v>
      </x:c>
      <x:c r="B24" s="3" t="inlineStr">
        <x:is>
          <x:t xml:space="preserve">Client invoice</x:t>
        </x:is>
      </x:c>
      <x:c r="C24" s="3" t="inlineStr">
        <x:is>
          <x:t xml:space="preserve">Refund</x:t>
        </x:is>
      </x:c>
      <x:c r="D24" s="3" t="inlineStr">
        <x:is>
          <x:t xml:space="preserve">Savings</x:t>
        </x:is>
      </x:c>
      <x:c r="E24" s="4" t="n">
        <x:v>3735.4</x:v>
      </x:c>
      <x:c r="F24" s="5" t="str">
        <x:f>IF(E24&gt;=0,"Income","Expense")</x:f>
        <x:v>Income</x:v>
      </x:c>
      <x:c r="G24" s="6">
        <x:f>ABS(E24)</x:f>
        <x:v>3735.4</x:v>
      </x:c>
      <x:c r="H24" s="4">
        <x:f>ROUND(E24,2)</x:f>
        <x:v>3735.4</x:v>
      </x:c>
      <x:c r="I24" s="5">
        <x:f>MONTH(A24)</x:f>
        <x:v>15</x:v>
      </x:c>
      <x:c r="J24" s="5">
        <x:f>YEAR(A24)</x:f>
        <x:v>15</x:v>
      </x:c>
      <x:c r="K24" s="5">
        <x:f>WEEKNUM(A24,2)</x:f>
        <x:v>18</x:v>
      </x:c>
      <x:c r="L24" s="5">
        <x:f>ISOWEEKNUM(A24)</x:f>
        <x:v>18</x:v>
      </x:c>
      <x:c r="M24" s="5" t="str">
        <x:f>TRIM(CLEAN(B24))</x:f>
        <x:v>Client invoice</x:v>
      </x:c>
      <x:c r="N24" s="5" t="str">
        <x:f>UPPER(M24)</x:f>
        <x:v>CLIENT INVOICE</x:v>
      </x:c>
      <x:c r="O24" s="5" t="str">
        <x:f>LOWER(M24)</x:f>
        <x:v>client invoice</x:v>
      </x:c>
      <x:c r="P24" s="3" t="str">
        <x:f>PROPER(M24)</x:f>
        <x:v>Client Invoice</x:v>
      </x:c>
      <x:c r="Q24" s="3">
        <x:f>LEN(M24)</x:f>
        <x:v>14</x:v>
      </x:c>
      <x:c r="R24" s="3" t="b">
        <x:f>ISBLANK(B24)</x:f>
        <x:v>0</x:v>
      </x:c>
      <x:c r="S24" s="3">
        <x:f>SIGN(E24)</x:f>
        <x:v>1</x:v>
      </x:c>
      <x:c r="T24" s="3" t="b">
        <x:f>ISEVEN(ROW())</x:f>
        <x:v>1</x:v>
      </x:c>
      <x:c r="U24" s="3" t="b">
        <x:f>ISODD(ROW())</x:f>
        <x:v>0</x:v>
      </x:c>
    </x:row>
    <x:row r="25">
      <x:c r="A25" s="2" t="n">
        <x:v>45866</x:v>
      </x:c>
      <x:c r="B25" s="3" t="inlineStr">
        <x:is>
          <x:t xml:space="preserve">Tax refund</x:t>
        </x:is>
      </x:c>
      <x:c r="C25" s="3" t="inlineStr">
        <x:is>
          <x:t xml:space="preserve">Salary</x:t>
        </x:is>
      </x:c>
      <x:c r="D25" s="3" t="inlineStr">
        <x:is>
          <x:t xml:space="preserve">Savings</x:t>
        </x:is>
      </x:c>
      <x:c r="E25" s="4" t="n">
        <x:v>2625.79</x:v>
      </x:c>
      <x:c r="F25" s="5" t="str">
        <x:f>IF(E25&gt;=0,"Income","Expense")</x:f>
        <x:v>Income</x:v>
      </x:c>
      <x:c r="G25" s="6">
        <x:f>ABS(E25)</x:f>
        <x:v>2625.79</x:v>
      </x:c>
      <x:c r="H25" s="4">
        <x:f>ROUND(E25,2)</x:f>
        <x:v>2625.79</x:v>
      </x:c>
      <x:c r="I25" s="5">
        <x:f>MONTH(A25)</x:f>
        <x:v>15</x:v>
      </x:c>
      <x:c r="J25" s="5">
        <x:f>YEAR(A25)</x:f>
        <x:v>15</x:v>
      </x:c>
      <x:c r="K25" s="5">
        <x:f>WEEKNUM(A25,2)</x:f>
        <x:v>31</x:v>
      </x:c>
      <x:c r="L25" s="5">
        <x:f>ISOWEEKNUM(A25)</x:f>
        <x:v>31</x:v>
      </x:c>
      <x:c r="M25" s="5" t="str">
        <x:f>TRIM(CLEAN(B25))</x:f>
        <x:v>Tax refund</x:v>
      </x:c>
      <x:c r="N25" s="5" t="str">
        <x:f>UPPER(M25)</x:f>
        <x:v>TAX REFUND</x:v>
      </x:c>
      <x:c r="O25" s="5" t="str">
        <x:f>LOWER(M25)</x:f>
        <x:v>tax refund</x:v>
      </x:c>
      <x:c r="P25" s="3" t="str">
        <x:f>PROPER(M25)</x:f>
        <x:v>Tax Refund</x:v>
      </x:c>
      <x:c r="Q25" s="3">
        <x:f>LEN(M25)</x:f>
        <x:v>10</x:v>
      </x:c>
      <x:c r="R25" s="3" t="b">
        <x:f>ISBLANK(B25)</x:f>
        <x:v>0</x:v>
      </x:c>
      <x:c r="S25" s="3">
        <x:f>SIGN(E25)</x:f>
        <x:v>1</x:v>
      </x:c>
      <x:c r="T25" s="3" t="b">
        <x:f>ISEVEN(ROW())</x:f>
        <x:v>0</x:v>
      </x:c>
      <x:c r="U25" s="3" t="b">
        <x:f>ISODD(ROW())</x:f>
        <x:v>1</x:v>
      </x:c>
    </x:row>
    <x:row r="26">
      <x:c r="A26" s="2" t="n">
        <x:v>46002</x:v>
      </x:c>
      <x:c r="B26" s="3" t="inlineStr">
        <x:is>
          <x:t xml:space="preserve">Apartment rent</x:t>
        </x:is>
      </x:c>
      <x:c r="C26" s="3" t="inlineStr">
        <x:is>
          <x:t xml:space="preserve">Groceries</x:t>
        </x:is>
      </x:c>
      <x:c r="D26" s="3" t="inlineStr">
        <x:is>
          <x:t xml:space="preserve">Credit Card</x:t>
        </x:is>
      </x:c>
      <x:c r="E26" s="4" t="n">
        <x:v>-1136.3</x:v>
      </x:c>
      <x:c r="F26" s="5" t="str">
        <x:f>IF(E26&gt;=0,"Income","Expense")</x:f>
        <x:v>Expense</x:v>
      </x:c>
      <x:c r="G26" s="6">
        <x:f>ABS(E26)</x:f>
        <x:v>1136.3</x:v>
      </x:c>
      <x:c r="H26" s="4">
        <x:f>ROUND(E26,2)</x:f>
        <x:v>-1136.3</x:v>
      </x:c>
      <x:c r="I26" s="5">
        <x:f>MONTH(A26)</x:f>
        <x:v>15</x:v>
      </x:c>
      <x:c r="J26" s="5">
        <x:f>YEAR(A26)</x:f>
        <x:v>15</x:v>
      </x:c>
      <x:c r="K26" s="5">
        <x:f>WEEKNUM(A26,2)</x:f>
        <x:v>50</x:v>
      </x:c>
      <x:c r="L26" s="5">
        <x:f>ISOWEEKNUM(A26)</x:f>
        <x:v>50</x:v>
      </x:c>
      <x:c r="M26" s="5" t="str">
        <x:f>TRIM(CLEAN(B26))</x:f>
        <x:v>Apartment rent</x:v>
      </x:c>
      <x:c r="N26" s="5" t="str">
        <x:f>UPPER(M26)</x:f>
        <x:v>APARTMENT RENT</x:v>
      </x:c>
      <x:c r="O26" s="5" t="str">
        <x:f>LOWER(M26)</x:f>
        <x:v>apartment rent</x:v>
      </x:c>
      <x:c r="P26" s="3" t="str">
        <x:f>PROPER(M26)</x:f>
        <x:v>Apartment Rent</x:v>
      </x:c>
      <x:c r="Q26" s="3">
        <x:f>LEN(M26)</x:f>
        <x:v>14</x:v>
      </x:c>
      <x:c r="R26" s="3" t="b">
        <x:f>ISBLANK(B26)</x:f>
        <x:v>0</x:v>
      </x:c>
      <x:c r="S26" s="3">
        <x:f>SIGN(E26)</x:f>
        <x:v>-1</x:v>
      </x:c>
      <x:c r="T26" s="3" t="b">
        <x:f>ISEVEN(ROW())</x:f>
        <x:v>1</x:v>
      </x:c>
      <x:c r="U26" s="3" t="b">
        <x:f>ISODD(ROW())</x:f>
        <x:v>0</x:v>
      </x:c>
    </x:row>
    <x:row r="27">
      <x:c r="A27" s="2" t="n">
        <x:v>45756</x:v>
      </x:c>
      <x:c r="B27" s="3" t="inlineStr">
        <x:is>
          <x:t xml:space="preserve">Client invoice</x:t>
        </x:is>
      </x:c>
      <x:c r="C27" s="3" t="inlineStr">
        <x:is>
          <x:t xml:space="preserve">Refund</x:t>
        </x:is>
      </x:c>
      <x:c r="D27" s="3" t="inlineStr">
        <x:is>
          <x:t xml:space="preserve">Savings</x:t>
        </x:is>
      </x:c>
      <x:c r="E27" s="4" t="n">
        <x:v>3031.29</x:v>
      </x:c>
      <x:c r="F27" s="5" t="str">
        <x:f>IF(E27&gt;=0,"Income","Expense")</x:f>
        <x:v>Income</x:v>
      </x:c>
      <x:c r="G27" s="6">
        <x:f>ABS(E27)</x:f>
        <x:v>3031.29</x:v>
      </x:c>
      <x:c r="H27" s="4">
        <x:f>ROUND(E27,2)</x:f>
        <x:v>3031.29</x:v>
      </x:c>
      <x:c r="I27" s="5">
        <x:f>MONTH(A27)</x:f>
        <x:v>15</x:v>
      </x:c>
      <x:c r="J27" s="5">
        <x:f>YEAR(A27)</x:f>
        <x:v>15</x:v>
      </x:c>
      <x:c r="K27" s="5">
        <x:f>WEEKNUM(A27,2)</x:f>
        <x:v>15</x:v>
      </x:c>
      <x:c r="L27" s="5">
        <x:f>ISOWEEKNUM(A27)</x:f>
        <x:v>15</x:v>
      </x:c>
      <x:c r="M27" s="5" t="str">
        <x:f>TRIM(CLEAN(B27))</x:f>
        <x:v>Client invoice</x:v>
      </x:c>
      <x:c r="N27" s="5" t="str">
        <x:f>UPPER(M27)</x:f>
        <x:v>CLIENT INVOICE</x:v>
      </x:c>
      <x:c r="O27" s="5" t="str">
        <x:f>LOWER(M27)</x:f>
        <x:v>client invoice</x:v>
      </x:c>
      <x:c r="P27" s="3" t="str">
        <x:f>PROPER(M27)</x:f>
        <x:v>Client Invoice</x:v>
      </x:c>
      <x:c r="Q27" s="3">
        <x:f>LEN(M27)</x:f>
        <x:v>14</x:v>
      </x:c>
      <x:c r="R27" s="3" t="b">
        <x:f>ISBLANK(B27)</x:f>
        <x:v>0</x:v>
      </x:c>
      <x:c r="S27" s="3">
        <x:f>SIGN(E27)</x:f>
        <x:v>1</x:v>
      </x:c>
      <x:c r="T27" s="3" t="b">
        <x:f>ISEVEN(ROW())</x:f>
        <x:v>0</x:v>
      </x:c>
      <x:c r="U27" s="3" t="b">
        <x:f>ISODD(ROW())</x:f>
        <x:v>1</x:v>
      </x:c>
    </x:row>
    <x:row r="28">
      <x:c r="A28" s="2" t="n">
        <x:v>45696</x:v>
      </x:c>
      <x:c r="B28" s="3" t="inlineStr">
        <x:is>
          <x:t xml:space="preserve">Apartment rent</x:t>
        </x:is>
      </x:c>
      <x:c r="C28" s="3" t="inlineStr">
        <x:is>
          <x:t xml:space="preserve">Groceries</x:t>
        </x:is>
      </x:c>
      <x:c r="D28" s="3" t="inlineStr">
        <x:is>
          <x:t xml:space="preserve">Savings</x:t>
        </x:is>
      </x:c>
      <x:c r="E28" s="4" t="n">
        <x:v>-1831.22</x:v>
      </x:c>
      <x:c r="F28" s="5" t="str">
        <x:f>IF(E28&gt;=0,"Income","Expense")</x:f>
        <x:v>Expense</x:v>
      </x:c>
      <x:c r="G28" s="6">
        <x:f>ABS(E28)</x:f>
        <x:v>1831.22</x:v>
      </x:c>
      <x:c r="H28" s="4">
        <x:f>ROUND(E28,2)</x:f>
        <x:v>-1831.22</x:v>
      </x:c>
      <x:c r="I28" s="5">
        <x:f>MONTH(A28)</x:f>
        <x:v>15</x:v>
      </x:c>
      <x:c r="J28" s="5">
        <x:f>YEAR(A28)</x:f>
        <x:v>15</x:v>
      </x:c>
      <x:c r="K28" s="5">
        <x:f>WEEKNUM(A28,2)</x:f>
        <x:v>6</x:v>
      </x:c>
      <x:c r="L28" s="5">
        <x:f>ISOWEEKNUM(A28)</x:f>
        <x:v>6</x:v>
      </x:c>
      <x:c r="M28" s="5" t="str">
        <x:f>TRIM(CLEAN(B28))</x:f>
        <x:v>Apartment rent</x:v>
      </x:c>
      <x:c r="N28" s="5" t="str">
        <x:f>UPPER(M28)</x:f>
        <x:v>APARTMENT RENT</x:v>
      </x:c>
      <x:c r="O28" s="5" t="str">
        <x:f>LOWER(M28)</x:f>
        <x:v>apartment rent</x:v>
      </x:c>
      <x:c r="P28" s="3" t="str">
        <x:f>PROPER(M28)</x:f>
        <x:v>Apartment Rent</x:v>
      </x:c>
      <x:c r="Q28" s="3">
        <x:f>LEN(M28)</x:f>
        <x:v>14</x:v>
      </x:c>
      <x:c r="R28" s="3" t="b">
        <x:f>ISBLANK(B28)</x:f>
        <x:v>0</x:v>
      </x:c>
      <x:c r="S28" s="3">
        <x:f>SIGN(E28)</x:f>
        <x:v>-1</x:v>
      </x:c>
      <x:c r="T28" s="3" t="b">
        <x:f>ISEVEN(ROW())</x:f>
        <x:v>1</x:v>
      </x:c>
      <x:c r="U28" s="3" t="b">
        <x:f>ISODD(ROW())</x:f>
        <x:v>0</x:v>
      </x:c>
    </x:row>
    <x:row r="29">
      <x:c r="A29" s="2" t="n">
        <x:v>45779</x:v>
      </x:c>
      <x:c r="B29" s="3" t="inlineStr">
        <x:is>
          <x:t xml:space="preserve">Tax refund</x:t>
        </x:is>
      </x:c>
      <x:c r="C29" s="3" t="inlineStr">
        <x:is>
          <x:t xml:space="preserve">Refund</x:t>
        </x:is>
      </x:c>
      <x:c r="D29" s="3" t="inlineStr">
        <x:is>
          <x:t xml:space="preserve">Savings</x:t>
        </x:is>
      </x:c>
      <x:c r="E29" s="4" t="n">
        <x:v>1782.48</x:v>
      </x:c>
      <x:c r="F29" s="5" t="str">
        <x:f>IF(E29&gt;=0,"Income","Expense")</x:f>
        <x:v>Income</x:v>
      </x:c>
      <x:c r="G29" s="6">
        <x:f>ABS(E29)</x:f>
        <x:v>1782.48</x:v>
      </x:c>
      <x:c r="H29" s="4">
        <x:f>ROUND(E29,2)</x:f>
        <x:v>1782.48</x:v>
      </x:c>
      <x:c r="I29" s="5">
        <x:f>MONTH(A29)</x:f>
        <x:v>15</x:v>
      </x:c>
      <x:c r="J29" s="5">
        <x:f>YEAR(A29)</x:f>
        <x:v>15</x:v>
      </x:c>
      <x:c r="K29" s="5">
        <x:f>WEEKNUM(A29,2)</x:f>
        <x:v>18</x:v>
      </x:c>
      <x:c r="L29" s="5">
        <x:f>ISOWEEKNUM(A29)</x:f>
        <x:v>18</x:v>
      </x:c>
      <x:c r="M29" s="5" t="str">
        <x:f>TRIM(CLEAN(B29))</x:f>
        <x:v>Tax refund</x:v>
      </x:c>
      <x:c r="N29" s="5" t="str">
        <x:f>UPPER(M29)</x:f>
        <x:v>TAX REFUND</x:v>
      </x:c>
      <x:c r="O29" s="5" t="str">
        <x:f>LOWER(M29)</x:f>
        <x:v>tax refund</x:v>
      </x:c>
      <x:c r="P29" s="3" t="str">
        <x:f>PROPER(M29)</x:f>
        <x:v>Tax Refund</x:v>
      </x:c>
      <x:c r="Q29" s="3">
        <x:f>LEN(M29)</x:f>
        <x:v>10</x:v>
      </x:c>
      <x:c r="R29" s="3" t="b">
        <x:f>ISBLANK(B29)</x:f>
        <x:v>0</x:v>
      </x:c>
      <x:c r="S29" s="3">
        <x:f>SIGN(E29)</x:f>
        <x:v>1</x:v>
      </x:c>
      <x:c r="T29" s="3" t="b">
        <x:f>ISEVEN(ROW())</x:f>
        <x:v>0</x:v>
      </x:c>
      <x:c r="U29" s="3" t="b">
        <x:f>ISODD(ROW())</x:f>
        <x:v>1</x:v>
      </x:c>
    </x:row>
    <x:row r="30">
      <x:c r="A30" s="2" t="n">
        <x:v>45659</x:v>
      </x:c>
      <x:c r="B30" s="3" t="inlineStr">
        <x:is>
          <x:t xml:space="preserve">Estimated tax</x:t>
        </x:is>
      </x:c>
      <x:c r="C30" s="3" t="inlineStr">
        <x:is>
          <x:t xml:space="preserve">Software</x:t>
        </x:is>
      </x:c>
      <x:c r="D30" s="3" t="inlineStr">
        <x:is>
          <x:t xml:space="preserve">Savings</x:t>
        </x:is>
      </x:c>
      <x:c r="E30" s="4" t="n">
        <x:v>-809.42</x:v>
      </x:c>
      <x:c r="F30" s="5" t="str">
        <x:f>IF(E30&gt;=0,"Income","Expense")</x:f>
        <x:v>Expense</x:v>
      </x:c>
      <x:c r="G30" s="6">
        <x:f>ABS(E30)</x:f>
        <x:v>809.42</x:v>
      </x:c>
      <x:c r="H30" s="4">
        <x:f>ROUND(E30,2)</x:f>
        <x:v>-809.42</x:v>
      </x:c>
      <x:c r="I30" s="5">
        <x:f>MONTH(A30)</x:f>
        <x:v>15</x:v>
      </x:c>
      <x:c r="J30" s="5">
        <x:f>YEAR(A30)</x:f>
        <x:v>15</x:v>
      </x:c>
      <x:c r="K30" s="5">
        <x:f>WEEKNUM(A30,2)</x:f>
        <x:v>1</x:v>
      </x:c>
      <x:c r="L30" s="5">
        <x:f>ISOWEEKNUM(A30)</x:f>
        <x:v>1</x:v>
      </x:c>
      <x:c r="M30" s="5" t="str">
        <x:f>TRIM(CLEAN(B30))</x:f>
        <x:v>Estimated tax</x:v>
      </x:c>
      <x:c r="N30" s="5" t="str">
        <x:f>UPPER(M30)</x:f>
        <x:v>ESTIMATED TAX</x:v>
      </x:c>
      <x:c r="O30" s="5" t="str">
        <x:f>LOWER(M30)</x:f>
        <x:v>estimated tax</x:v>
      </x:c>
      <x:c r="P30" s="3" t="str">
        <x:f>PROPER(M30)</x:f>
        <x:v>Estimated Tax</x:v>
      </x:c>
      <x:c r="Q30" s="3">
        <x:f>LEN(M30)</x:f>
        <x:v>13</x:v>
      </x:c>
      <x:c r="R30" s="3" t="b">
        <x:f>ISBLANK(B30)</x:f>
        <x:v>0</x:v>
      </x:c>
      <x:c r="S30" s="3">
        <x:f>SIGN(E30)</x:f>
        <x:v>-1</x:v>
      </x:c>
      <x:c r="T30" s="3" t="b">
        <x:f>ISEVEN(ROW())</x:f>
        <x:v>1</x:v>
      </x:c>
      <x:c r="U30" s="3" t="b">
        <x:f>ISODD(ROW())</x:f>
        <x:v>0</x:v>
      </x:c>
    </x:row>
    <x:row r="31">
      <x:c r="A31" s="2" t="n">
        <x:v>45942</x:v>
      </x:c>
      <x:c r="B31" s="3" t="inlineStr">
        <x:is>
          <x:t xml:space="preserve">Electric bill</x:t>
        </x:is>
      </x:c>
      <x:c r="C31" s="3" t="inlineStr">
        <x:is>
          <x:t xml:space="preserve">Tax</x:t>
        </x:is>
      </x:c>
      <x:c r="D31" s="3" t="inlineStr">
        <x:is>
          <x:t xml:space="preserve">Checking</x:t>
        </x:is>
      </x:c>
      <x:c r="E31" s="4" t="n">
        <x:v>-543.87</x:v>
      </x:c>
      <x:c r="F31" s="5" t="str">
        <x:f>IF(E31&gt;=0,"Income","Expense")</x:f>
        <x:v>Expense</x:v>
      </x:c>
      <x:c r="G31" s="6">
        <x:f>ABS(E31)</x:f>
        <x:v>543.87</x:v>
      </x:c>
      <x:c r="H31" s="4">
        <x:f>ROUND(E31,2)</x:f>
        <x:v>-543.87</x:v>
      </x:c>
      <x:c r="I31" s="5">
        <x:f>MONTH(A31)</x:f>
        <x:v>15</x:v>
      </x:c>
      <x:c r="J31" s="5">
        <x:f>YEAR(A31)</x:f>
        <x:v>15</x:v>
      </x:c>
      <x:c r="K31" s="5">
        <x:f>WEEKNUM(A31,2)</x:f>
        <x:v>41</x:v>
      </x:c>
      <x:c r="L31" s="5">
        <x:f>ISOWEEKNUM(A31)</x:f>
        <x:v>41</x:v>
      </x:c>
      <x:c r="M31" s="5" t="str">
        <x:f>TRIM(CLEAN(B31))</x:f>
        <x:v>Electric bill</x:v>
      </x:c>
      <x:c r="N31" s="5" t="str">
        <x:f>UPPER(M31)</x:f>
        <x:v>ELECTRIC BILL</x:v>
      </x:c>
      <x:c r="O31" s="5" t="str">
        <x:f>LOWER(M31)</x:f>
        <x:v>electric bill</x:v>
      </x:c>
      <x:c r="P31" s="3" t="str">
        <x:f>PROPER(M31)</x:f>
        <x:v>Electric Bill</x:v>
      </x:c>
      <x:c r="Q31" s="3">
        <x:f>LEN(M31)</x:f>
        <x:v>13</x:v>
      </x:c>
      <x:c r="R31" s="3" t="b">
        <x:f>ISBLANK(B31)</x:f>
        <x:v>0</x:v>
      </x:c>
      <x:c r="S31" s="3">
        <x:f>SIGN(E31)</x:f>
        <x:v>-1</x:v>
      </x:c>
      <x:c r="T31" s="3" t="b">
        <x:f>ISEVEN(ROW())</x:f>
        <x:v>0</x:v>
      </x:c>
      <x:c r="U31" s="3" t="b">
        <x:f>ISODD(ROW())</x:f>
        <x:v>1</x:v>
      </x:c>
    </x:row>
    <x:row r="32">
      <x:c r="A32" s="2" t="n">
        <x:v>45935</x:v>
      </x:c>
      <x:c r="B32" s="3" t="inlineStr">
        <x:is>
          <x:t xml:space="preserve">Monthly salary</x:t>
        </x:is>
      </x:c>
      <x:c r="C32" s="3" t="inlineStr">
        <x:is>
          <x:t xml:space="preserve">Interest</x:t>
        </x:is>
      </x:c>
      <x:c r="D32" s="3" t="inlineStr">
        <x:is>
          <x:t xml:space="preserve">Savings</x:t>
        </x:is>
      </x:c>
      <x:c r="E32" s="4" t="n">
        <x:v>800.85</x:v>
      </x:c>
      <x:c r="F32" s="5" t="str">
        <x:f>IF(E32&gt;=0,"Income","Expense")</x:f>
        <x:v>Income</x:v>
      </x:c>
      <x:c r="G32" s="6">
        <x:f>ABS(E32)</x:f>
        <x:v>800.85</x:v>
      </x:c>
      <x:c r="H32" s="4">
        <x:f>ROUND(E32,2)</x:f>
        <x:v>800.85</x:v>
      </x:c>
      <x:c r="I32" s="5">
        <x:f>MONTH(A32)</x:f>
        <x:v>15</x:v>
      </x:c>
      <x:c r="J32" s="5">
        <x:f>YEAR(A32)</x:f>
        <x:v>15</x:v>
      </x:c>
      <x:c r="K32" s="5">
        <x:f>WEEKNUM(A32,2)</x:f>
        <x:v>40</x:v>
      </x:c>
      <x:c r="L32" s="5">
        <x:f>ISOWEEKNUM(A32)</x:f>
        <x:v>40</x:v>
      </x:c>
      <x:c r="M32" s="5" t="str">
        <x:f>TRIM(CLEAN(B32))</x:f>
        <x:v>Monthly salary</x:v>
      </x:c>
      <x:c r="N32" s="5" t="str">
        <x:f>UPPER(M32)</x:f>
        <x:v>MONTHLY SALARY</x:v>
      </x:c>
      <x:c r="O32" s="5" t="str">
        <x:f>LOWER(M32)</x:f>
        <x:v>monthly salary</x:v>
      </x:c>
      <x:c r="P32" s="3" t="str">
        <x:f>PROPER(M32)</x:f>
        <x:v>Monthly Salary</x:v>
      </x:c>
      <x:c r="Q32" s="3">
        <x:f>LEN(M32)</x:f>
        <x:v>14</x:v>
      </x:c>
      <x:c r="R32" s="3" t="b">
        <x:f>ISBLANK(B32)</x:f>
        <x:v>0</x:v>
      </x:c>
      <x:c r="S32" s="3">
        <x:f>SIGN(E32)</x:f>
        <x:v>1</x:v>
      </x:c>
      <x:c r="T32" s="3" t="b">
        <x:f>ISEVEN(ROW())</x:f>
        <x:v>1</x:v>
      </x:c>
      <x:c r="U32" s="3" t="b">
        <x:f>ISODD(ROW())</x:f>
        <x:v>0</x:v>
      </x:c>
    </x:row>
    <x:row r="33">
      <x:c r="A33" s="2" t="n">
        <x:v>45738</x:v>
      </x:c>
      <x:c r="B33" s="3" t="inlineStr">
        <x:is>
          <x:t xml:space="preserve">Client invoice</x:t>
        </x:is>
      </x:c>
      <x:c r="C33" s="3" t="inlineStr">
        <x:is>
          <x:t xml:space="preserve">Salary</x:t>
        </x:is>
      </x:c>
      <x:c r="D33" s="3" t="inlineStr">
        <x:is>
          <x:t xml:space="preserve">Checking</x:t>
        </x:is>
      </x:c>
      <x:c r="E33" s="4" t="n">
        <x:v>911.13</x:v>
      </x:c>
      <x:c r="F33" s="5" t="str">
        <x:f>IF(E33&gt;=0,"Income","Expense")</x:f>
        <x:v>Income</x:v>
      </x:c>
      <x:c r="G33" s="6">
        <x:f>ABS(E33)</x:f>
        <x:v>911.13</x:v>
      </x:c>
      <x:c r="H33" s="4">
        <x:f>ROUND(E33,2)</x:f>
        <x:v>911.13</x:v>
      </x:c>
      <x:c r="I33" s="5">
        <x:f>MONTH(A33)</x:f>
        <x:v>15</x:v>
      </x:c>
      <x:c r="J33" s="5">
        <x:f>YEAR(A33)</x:f>
        <x:v>15</x:v>
      </x:c>
      <x:c r="K33" s="5">
        <x:f>WEEKNUM(A33,2)</x:f>
        <x:v>12</x:v>
      </x:c>
      <x:c r="L33" s="5">
        <x:f>ISOWEEKNUM(A33)</x:f>
        <x:v>12</x:v>
      </x:c>
      <x:c r="M33" s="5" t="str">
        <x:f>TRIM(CLEAN(B33))</x:f>
        <x:v>Client invoice</x:v>
      </x:c>
      <x:c r="N33" s="5" t="str">
        <x:f>UPPER(M33)</x:f>
        <x:v>CLIENT INVOICE</x:v>
      </x:c>
      <x:c r="O33" s="5" t="str">
        <x:f>LOWER(M33)</x:f>
        <x:v>client invoice</x:v>
      </x:c>
      <x:c r="P33" s="3" t="str">
        <x:f>PROPER(M33)</x:f>
        <x:v>Client Invoice</x:v>
      </x:c>
      <x:c r="Q33" s="3">
        <x:f>LEN(M33)</x:f>
        <x:v>14</x:v>
      </x:c>
      <x:c r="R33" s="3" t="b">
        <x:f>ISBLANK(B33)</x:f>
        <x:v>0</x:v>
      </x:c>
      <x:c r="S33" s="3">
        <x:f>SIGN(E33)</x:f>
        <x:v>1</x:v>
      </x:c>
      <x:c r="T33" s="3" t="b">
        <x:f>ISEVEN(ROW())</x:f>
        <x:v>0</x:v>
      </x:c>
      <x:c r="U33" s="3" t="b">
        <x:f>ISODD(ROW())</x:f>
        <x:v>1</x:v>
      </x:c>
    </x:row>
    <x:row r="34">
      <x:c r="A34" s="2" t="n">
        <x:v>45719</x:v>
      </x:c>
      <x:c r="B34" s="3" t="inlineStr">
        <x:is>
          <x:t xml:space="preserve">Apartment rent</x:t>
        </x:is>
      </x:c>
      <x:c r="C34" s="3" t="inlineStr">
        <x:is>
          <x:t xml:space="preserve">Travel</x:t>
        </x:is>
      </x:c>
      <x:c r="D34" s="3" t="inlineStr">
        <x:is>
          <x:t xml:space="preserve">Credit Card</x:t>
        </x:is>
      </x:c>
      <x:c r="E34" s="4" t="n">
        <x:v>-1739.98</x:v>
      </x:c>
      <x:c r="F34" s="5" t="str">
        <x:f>IF(E34&gt;=0,"Income","Expense")</x:f>
        <x:v>Expense</x:v>
      </x:c>
      <x:c r="G34" s="6">
        <x:f>ABS(E34)</x:f>
        <x:v>1739.98</x:v>
      </x:c>
      <x:c r="H34" s="4">
        <x:f>ROUND(E34,2)</x:f>
        <x:v>-1739.98</x:v>
      </x:c>
      <x:c r="I34" s="5">
        <x:f>MONTH(A34)</x:f>
        <x:v>15</x:v>
      </x:c>
      <x:c r="J34" s="5">
        <x:f>YEAR(A34)</x:f>
        <x:v>15</x:v>
      </x:c>
      <x:c r="K34" s="5">
        <x:f>WEEKNUM(A34,2)</x:f>
        <x:v>10</x:v>
      </x:c>
      <x:c r="L34" s="5">
        <x:f>ISOWEEKNUM(A34)</x:f>
        <x:v>10</x:v>
      </x:c>
      <x:c r="M34" s="5" t="str">
        <x:f>TRIM(CLEAN(B34))</x:f>
        <x:v>Apartment rent</x:v>
      </x:c>
      <x:c r="N34" s="5" t="str">
        <x:f>UPPER(M34)</x:f>
        <x:v>APARTMENT RENT</x:v>
      </x:c>
      <x:c r="O34" s="5" t="str">
        <x:f>LOWER(M34)</x:f>
        <x:v>apartment rent</x:v>
      </x:c>
      <x:c r="P34" s="3" t="str">
        <x:f>PROPER(M34)</x:f>
        <x:v>Apartment Rent</x:v>
      </x:c>
      <x:c r="Q34" s="3">
        <x:f>LEN(M34)</x:f>
        <x:v>14</x:v>
      </x:c>
      <x:c r="R34" s="3" t="b">
        <x:f>ISBLANK(B34)</x:f>
        <x:v>0</x:v>
      </x:c>
      <x:c r="S34" s="3">
        <x:f>SIGN(E34)</x:f>
        <x:v>-1</x:v>
      </x:c>
      <x:c r="T34" s="3" t="b">
        <x:f>ISEVEN(ROW())</x:f>
        <x:v>1</x:v>
      </x:c>
      <x:c r="U34" s="3" t="b">
        <x:f>ISODD(ROW())</x:f>
        <x:v>0</x:v>
      </x:c>
    </x:row>
    <x:row r="35">
      <x:c r="A35" s="2" t="n">
        <x:v>45819</x:v>
      </x:c>
      <x:c r="B35" s="3" t="inlineStr">
        <x:is>
          <x:t xml:space="preserve">Ad spend  </x:t>
        </x:is>
      </x:c>
      <x:c r="C35" s="3" t="inlineStr">
        <x:is>
          <x:t xml:space="preserve">Travel</x:t>
        </x:is>
      </x:c>
      <x:c r="D35" s="3" t="inlineStr">
        <x:is>
          <x:t xml:space="preserve">Credit Card</x:t>
        </x:is>
      </x:c>
      <x:c r="E35" s="4" t="n">
        <x:v>-679.74</x:v>
      </x:c>
      <x:c r="F35" s="5" t="str">
        <x:f>IF(E35&gt;=0,"Income","Expense")</x:f>
        <x:v>Expense</x:v>
      </x:c>
      <x:c r="G35" s="6">
        <x:f>ABS(E35)</x:f>
        <x:v>679.74</x:v>
      </x:c>
      <x:c r="H35" s="4">
        <x:f>ROUND(E35,2)</x:f>
        <x:v>-679.74</x:v>
      </x:c>
      <x:c r="I35" s="5">
        <x:f>MONTH(A35)</x:f>
        <x:v>15</x:v>
      </x:c>
      <x:c r="J35" s="5">
        <x:f>YEAR(A35)</x:f>
        <x:v>15</x:v>
      </x:c>
      <x:c r="K35" s="5">
        <x:f>WEEKNUM(A35,2)</x:f>
        <x:v>24</x:v>
      </x:c>
      <x:c r="L35" s="5">
        <x:f>ISOWEEKNUM(A35)</x:f>
        <x:v>24</x:v>
      </x:c>
      <x:c r="M35" s="5" t="str">
        <x:f>TRIM(CLEAN(B35))</x:f>
        <x:v>Ad spend</x:v>
      </x:c>
      <x:c r="N35" s="5" t="str">
        <x:f>UPPER(M35)</x:f>
        <x:v>AD SPEND</x:v>
      </x:c>
      <x:c r="O35" s="5" t="str">
        <x:f>LOWER(M35)</x:f>
        <x:v>ad spend</x:v>
      </x:c>
      <x:c r="P35" s="3" t="str">
        <x:f>PROPER(M35)</x:f>
        <x:v>Ad Spend</x:v>
      </x:c>
      <x:c r="Q35" s="3">
        <x:f>LEN(M35)</x:f>
        <x:v>8</x:v>
      </x:c>
      <x:c r="R35" s="3" t="b">
        <x:f>ISBLANK(B35)</x:f>
        <x:v>0</x:v>
      </x:c>
      <x:c r="S35" s="3">
        <x:f>SIGN(E35)</x:f>
        <x:v>-1</x:v>
      </x:c>
      <x:c r="T35" s="3" t="b">
        <x:f>ISEVEN(ROW())</x:f>
        <x:v>0</x:v>
      </x:c>
      <x:c r="U35" s="3" t="b">
        <x:f>ISODD(ROW())</x:f>
        <x:v>1</x:v>
      </x:c>
    </x:row>
    <x:row r="36">
      <x:c r="A36" s="2" t="n">
        <x:v>45892</x:v>
      </x:c>
      <x:c r="B36" s="3" t="inlineStr">
        <x:is>
          <x:t xml:space="preserve">Apartment rent
</x:t>
        </x:is>
      </x:c>
      <x:c r="C36" s="3" t="inlineStr">
        <x:is>
          <x:t xml:space="preserve">Groceries</x:t>
        </x:is>
      </x:c>
      <x:c r="D36" s="3" t="inlineStr">
        <x:is>
          <x:t xml:space="preserve">Savings</x:t>
        </x:is>
      </x:c>
      <x:c r="E36" s="4" t="n">
        <x:v>-1291.33</x:v>
      </x:c>
      <x:c r="F36" s="5" t="str">
        <x:f>IF(E36&gt;=0,"Income","Expense")</x:f>
        <x:v>Expense</x:v>
      </x:c>
      <x:c r="G36" s="6">
        <x:f>ABS(E36)</x:f>
        <x:v>1291.33</x:v>
      </x:c>
      <x:c r="H36" s="4">
        <x:f>ROUND(E36,2)</x:f>
        <x:v>-1291.33</x:v>
      </x:c>
      <x:c r="I36" s="5">
        <x:f>MONTH(A36)</x:f>
        <x:v>15</x:v>
      </x:c>
      <x:c r="J36" s="5">
        <x:f>YEAR(A36)</x:f>
        <x:v>15</x:v>
      </x:c>
      <x:c r="K36" s="5">
        <x:f>WEEKNUM(A36,2)</x:f>
        <x:v>34</x:v>
      </x:c>
      <x:c r="L36" s="5">
        <x:f>ISOWEEKNUM(A36)</x:f>
        <x:v>34</x:v>
      </x:c>
      <x:c r="M36" s="5" t="str">
        <x:f>TRIM(CLEAN(B36))</x:f>
        <x:v>Apartment rent</x:v>
      </x:c>
      <x:c r="N36" s="5" t="str">
        <x:f>UPPER(M36)</x:f>
        <x:v>APARTMENT RENT</x:v>
      </x:c>
      <x:c r="O36" s="5" t="str">
        <x:f>LOWER(M36)</x:f>
        <x:v>apartment rent</x:v>
      </x:c>
      <x:c r="P36" s="3" t="str">
        <x:f>PROPER(M36)</x:f>
        <x:v>Apartment Rent</x:v>
      </x:c>
      <x:c r="Q36" s="3">
        <x:f>LEN(M36)</x:f>
        <x:v>14</x:v>
      </x:c>
      <x:c r="R36" s="3" t="b">
        <x:f>ISBLANK(B36)</x:f>
        <x:v>0</x:v>
      </x:c>
      <x:c r="S36" s="3">
        <x:f>SIGN(E36)</x:f>
        <x:v>-1</x:v>
      </x:c>
      <x:c r="T36" s="3" t="b">
        <x:f>ISEVEN(ROW())</x:f>
        <x:v>1</x:v>
      </x:c>
      <x:c r="U36" s="3" t="b">
        <x:f>ISODD(ROW())</x:f>
        <x:v>0</x:v>
      </x:c>
    </x:row>
    <x:row r="37">
      <x:c r="A37" s="2" t="n">
        <x:v>45767</x:v>
      </x:c>
      <x:c r="B37" s="3" t="inlineStr">
        <x:is>
          <x:t xml:space="preserve">Ad spend</x:t>
        </x:is>
      </x:c>
      <x:c r="C37" s="3" t="inlineStr">
        <x:is>
          <x:t xml:space="preserve">Utilities</x:t>
        </x:is>
      </x:c>
      <x:c r="D37" s="3" t="inlineStr">
        <x:is>
          <x:t xml:space="preserve">Checking</x:t>
        </x:is>
      </x:c>
      <x:c r="E37" s="4" t="n">
        <x:v>-2468.21</x:v>
      </x:c>
      <x:c r="F37" s="5" t="str">
        <x:f>IF(E37&gt;=0,"Income","Expense")</x:f>
        <x:v>Expense</x:v>
      </x:c>
      <x:c r="G37" s="6">
        <x:f>ABS(E37)</x:f>
        <x:v>2468.21</x:v>
      </x:c>
      <x:c r="H37" s="4">
        <x:f>ROUND(E37,2)</x:f>
        <x:v>-2468.21</x:v>
      </x:c>
      <x:c r="I37" s="5">
        <x:f>MONTH(A37)</x:f>
        <x:v>15</x:v>
      </x:c>
      <x:c r="J37" s="5">
        <x:f>YEAR(A37)</x:f>
        <x:v>15</x:v>
      </x:c>
      <x:c r="K37" s="5">
        <x:f>WEEKNUM(A37,2)</x:f>
        <x:v>16</x:v>
      </x:c>
      <x:c r="L37" s="5">
        <x:f>ISOWEEKNUM(A37)</x:f>
        <x:v>16</x:v>
      </x:c>
      <x:c r="M37" s="5" t="str">
        <x:f>TRIM(CLEAN(B37))</x:f>
        <x:v>Ad spend</x:v>
      </x:c>
      <x:c r="N37" s="5" t="str">
        <x:f>UPPER(M37)</x:f>
        <x:v>AD SPEND</x:v>
      </x:c>
      <x:c r="O37" s="5" t="str">
        <x:f>LOWER(M37)</x:f>
        <x:v>ad spend</x:v>
      </x:c>
      <x:c r="P37" s="3" t="str">
        <x:f>PROPER(M37)</x:f>
        <x:v>Ad Spend</x:v>
      </x:c>
      <x:c r="Q37" s="3">
        <x:f>LEN(M37)</x:f>
        <x:v>8</x:v>
      </x:c>
      <x:c r="R37" s="3" t="b">
        <x:f>ISBLANK(B37)</x:f>
        <x:v>0</x:v>
      </x:c>
      <x:c r="S37" s="3">
        <x:f>SIGN(E37)</x:f>
        <x:v>-1</x:v>
      </x:c>
      <x:c r="T37" s="3" t="b">
        <x:f>ISEVEN(ROW())</x:f>
        <x:v>0</x:v>
      </x:c>
      <x:c r="U37" s="3" t="b">
        <x:f>ISODD(ROW())</x:f>
        <x:v>1</x:v>
      </x:c>
    </x:row>
    <x:row r="38">
      <x:c r="A38" s="2" t="n">
        <x:v>45936</x:v>
      </x:c>
      <x:c r="B38" s="3" t="inlineStr">
        <x:is>
          <x:t xml:space="preserve">SaaS subscription</x:t>
        </x:is>
      </x:c>
      <x:c r="C38" s="3" t="inlineStr">
        <x:is>
          <x:t xml:space="preserve">Rent</x:t>
        </x:is>
      </x:c>
      <x:c r="D38" s="3" t="inlineStr">
        <x:is>
          <x:t xml:space="preserve">Checking</x:t>
        </x:is>
      </x:c>
      <x:c r="E38" s="4" t="n">
        <x:v>-2609.94</x:v>
      </x:c>
      <x:c r="F38" s="5" t="str">
        <x:f>IF(E38&gt;=0,"Income","Expense")</x:f>
        <x:v>Expense</x:v>
      </x:c>
      <x:c r="G38" s="6">
        <x:f>ABS(E38)</x:f>
        <x:v>2609.94</x:v>
      </x:c>
      <x:c r="H38" s="4">
        <x:f>ROUND(E38,2)</x:f>
        <x:v>-2609.94</x:v>
      </x:c>
      <x:c r="I38" s="5">
        <x:f>MONTH(A38)</x:f>
        <x:v>15</x:v>
      </x:c>
      <x:c r="J38" s="5">
        <x:f>YEAR(A38)</x:f>
        <x:v>15</x:v>
      </x:c>
      <x:c r="K38" s="5">
        <x:f>WEEKNUM(A38,2)</x:f>
        <x:v>41</x:v>
      </x:c>
      <x:c r="L38" s="5">
        <x:f>ISOWEEKNUM(A38)</x:f>
        <x:v>41</x:v>
      </x:c>
      <x:c r="M38" s="5" t="str">
        <x:f>TRIM(CLEAN(B38))</x:f>
        <x:v>SaaS subscription</x:v>
      </x:c>
      <x:c r="N38" s="5" t="str">
        <x:f>UPPER(M38)</x:f>
        <x:v>SAAS SUBSCRIPTION</x:v>
      </x:c>
      <x:c r="O38" s="5" t="str">
        <x:f>LOWER(M38)</x:f>
        <x:v>saas subscription</x:v>
      </x:c>
      <x:c r="P38" s="3" t="str">
        <x:f>PROPER(M38)</x:f>
        <x:v>Saas Subscription</x:v>
      </x:c>
      <x:c r="Q38" s="3">
        <x:f>LEN(M38)</x:f>
        <x:v>17</x:v>
      </x:c>
      <x:c r="R38" s="3" t="b">
        <x:f>ISBLANK(B38)</x:f>
        <x:v>0</x:v>
      </x:c>
      <x:c r="S38" s="3">
        <x:f>SIGN(E38)</x:f>
        <x:v>-1</x:v>
      </x:c>
      <x:c r="T38" s="3" t="b">
        <x:f>ISEVEN(ROW())</x:f>
        <x:v>1</x:v>
      </x:c>
      <x:c r="U38" s="3" t="b">
        <x:f>ISODD(ROW())</x:f>
        <x:v>0</x:v>
      </x:c>
    </x:row>
    <x:row r="39">
      <x:c r="A39" s="2" t="n">
        <x:v>45717</x:v>
      </x:c>
      <x:c r="B39" s="3" t="inlineStr">
        <x:is>
          <x:t xml:space="preserve">SaaS subscription</x:t>
        </x:is>
      </x:c>
      <x:c r="C39" s="3" t="inlineStr">
        <x:is>
          <x:t xml:space="preserve">Utilities</x:t>
        </x:is>
      </x:c>
      <x:c r="D39" s="3" t="inlineStr">
        <x:is>
          <x:t xml:space="preserve">Checking</x:t>
        </x:is>
      </x:c>
      <x:c r="E39" s="4" t="n">
        <x:v>-799.6900000000001</x:v>
      </x:c>
      <x:c r="F39" s="5" t="str">
        <x:f>IF(E39&gt;=0,"Income","Expense")</x:f>
        <x:v>Expense</x:v>
      </x:c>
      <x:c r="G39" s="6">
        <x:f>ABS(E39)</x:f>
        <x:v>799.69</x:v>
      </x:c>
      <x:c r="H39" s="4">
        <x:f>ROUND(E39,2)</x:f>
        <x:v>-799.69</x:v>
      </x:c>
      <x:c r="I39" s="5">
        <x:f>MONTH(A39)</x:f>
        <x:v>15</x:v>
      </x:c>
      <x:c r="J39" s="5">
        <x:f>YEAR(A39)</x:f>
        <x:v>15</x:v>
      </x:c>
      <x:c r="K39" s="5">
        <x:f>WEEKNUM(A39,2)</x:f>
        <x:v>9</x:v>
      </x:c>
      <x:c r="L39" s="5">
        <x:f>ISOWEEKNUM(A39)</x:f>
        <x:v>9</x:v>
      </x:c>
      <x:c r="M39" s="5" t="str">
        <x:f>TRIM(CLEAN(B39))</x:f>
        <x:v>SaaS subscription</x:v>
      </x:c>
      <x:c r="N39" s="5" t="str">
        <x:f>UPPER(M39)</x:f>
        <x:v>SAAS SUBSCRIPTION</x:v>
      </x:c>
      <x:c r="O39" s="5" t="str">
        <x:f>LOWER(M39)</x:f>
        <x:v>saas subscription</x:v>
      </x:c>
      <x:c r="P39" s="3" t="str">
        <x:f>PROPER(M39)</x:f>
        <x:v>Saas Subscription</x:v>
      </x:c>
      <x:c r="Q39" s="3">
        <x:f>LEN(M39)</x:f>
        <x:v>17</x:v>
      </x:c>
      <x:c r="R39" s="3" t="b">
        <x:f>ISBLANK(B39)</x:f>
        <x:v>0</x:v>
      </x:c>
      <x:c r="S39" s="3">
        <x:f>SIGN(E39)</x:f>
        <x:v>-1</x:v>
      </x:c>
      <x:c r="T39" s="3" t="b">
        <x:f>ISEVEN(ROW())</x:f>
        <x:v>0</x:v>
      </x:c>
      <x:c r="U39" s="3" t="b">
        <x:f>ISODD(ROW())</x:f>
        <x:v>1</x:v>
      </x:c>
    </x:row>
    <x:row r="40">
      <x:c r="A40" s="2" t="n">
        <x:v>45982</x:v>
      </x:c>
      <x:c r="B40" s="3" t="inlineStr">
        <x:is>
          <x:t xml:space="preserve">SaaS subscription  </x:t>
        </x:is>
      </x:c>
      <x:c r="C40" s="3" t="inlineStr">
        <x:is>
          <x:t xml:space="preserve">Tax</x:t>
        </x:is>
      </x:c>
      <x:c r="D40" s="3" t="inlineStr">
        <x:is>
          <x:t xml:space="preserve">Checking</x:t>
        </x:is>
      </x:c>
      <x:c r="E40" s="4" t="n">
        <x:v>-2536.36</x:v>
      </x:c>
      <x:c r="F40" s="5" t="str">
        <x:f>IF(E40&gt;=0,"Income","Expense")</x:f>
        <x:v>Expense</x:v>
      </x:c>
      <x:c r="G40" s="6">
        <x:f>ABS(E40)</x:f>
        <x:v>2536.36</x:v>
      </x:c>
      <x:c r="H40" s="4">
        <x:f>ROUND(E40,2)</x:f>
        <x:v>-2536.36</x:v>
      </x:c>
      <x:c r="I40" s="5">
        <x:f>MONTH(A40)</x:f>
        <x:v>15</x:v>
      </x:c>
      <x:c r="J40" s="5">
        <x:f>YEAR(A40)</x:f>
        <x:v>15</x:v>
      </x:c>
      <x:c r="K40" s="5">
        <x:f>WEEKNUM(A40,2)</x:f>
        <x:v>47</x:v>
      </x:c>
      <x:c r="L40" s="5">
        <x:f>ISOWEEKNUM(A40)</x:f>
        <x:v>47</x:v>
      </x:c>
      <x:c r="M40" s="5" t="str">
        <x:f>TRIM(CLEAN(B40))</x:f>
        <x:v>SaaS subscription</x:v>
      </x:c>
      <x:c r="N40" s="5" t="str">
        <x:f>UPPER(M40)</x:f>
        <x:v>SAAS SUBSCRIPTION</x:v>
      </x:c>
      <x:c r="O40" s="5" t="str">
        <x:f>LOWER(M40)</x:f>
        <x:v>saas subscription</x:v>
      </x:c>
      <x:c r="P40" s="3" t="str">
        <x:f>PROPER(M40)</x:f>
        <x:v>Saas Subscription</x:v>
      </x:c>
      <x:c r="Q40" s="3">
        <x:f>LEN(M40)</x:f>
        <x:v>17</x:v>
      </x:c>
      <x:c r="R40" s="3" t="b">
        <x:f>ISBLANK(B40)</x:f>
        <x:v>0</x:v>
      </x:c>
      <x:c r="S40" s="3">
        <x:f>SIGN(E40)</x:f>
        <x:v>-1</x:v>
      </x:c>
      <x:c r="T40" s="3" t="b">
        <x:f>ISEVEN(ROW())</x:f>
        <x:v>1</x:v>
      </x:c>
      <x:c r="U40" s="3" t="b">
        <x:f>ISODD(ROW())</x:f>
        <x:v>0</x:v>
      </x:c>
    </x:row>
    <x:row r="41">
      <x:c r="A41" s="2" t="n">
        <x:v>45799</x:v>
      </x:c>
      <x:c r="B41" s="3" t="inlineStr">
        <x:is>
          <x:t xml:space="preserve">Client invoice  </x:t>
        </x:is>
      </x:c>
      <x:c r="C41" s="3" t="inlineStr">
        <x:is>
          <x:t xml:space="preserve">Interest</x:t>
        </x:is>
      </x:c>
      <x:c r="D41" s="3" t="inlineStr">
        <x:is>
          <x:t xml:space="preserve">Savings</x:t>
        </x:is>
      </x:c>
      <x:c r="E41" s="4" t="n">
        <x:v>4322.68</x:v>
      </x:c>
      <x:c r="F41" s="5" t="str">
        <x:f>IF(E41&gt;=0,"Income","Expense")</x:f>
        <x:v>Income</x:v>
      </x:c>
      <x:c r="G41" s="6">
        <x:f>ABS(E41)</x:f>
        <x:v>4322.68</x:v>
      </x:c>
      <x:c r="H41" s="4">
        <x:f>ROUND(E41,2)</x:f>
        <x:v>4322.68</x:v>
      </x:c>
      <x:c r="I41" s="5">
        <x:f>MONTH(A41)</x:f>
        <x:v>15</x:v>
      </x:c>
      <x:c r="J41" s="5">
        <x:f>YEAR(A41)</x:f>
        <x:v>15</x:v>
      </x:c>
      <x:c r="K41" s="5">
        <x:f>WEEKNUM(A41,2)</x:f>
        <x:v>21</x:v>
      </x:c>
      <x:c r="L41" s="5">
        <x:f>ISOWEEKNUM(A41)</x:f>
        <x:v>21</x:v>
      </x:c>
      <x:c r="M41" s="5" t="str">
        <x:f>TRIM(CLEAN(B41))</x:f>
        <x:v>Client invoice</x:v>
      </x:c>
      <x:c r="N41" s="5" t="str">
        <x:f>UPPER(M41)</x:f>
        <x:v>CLIENT INVOICE</x:v>
      </x:c>
      <x:c r="O41" s="5" t="str">
        <x:f>LOWER(M41)</x:f>
        <x:v>client invoice</x:v>
      </x:c>
      <x:c r="P41" s="3" t="str">
        <x:f>PROPER(M41)</x:f>
        <x:v>Client Invoice</x:v>
      </x:c>
      <x:c r="Q41" s="3">
        <x:f>LEN(M41)</x:f>
        <x:v>14</x:v>
      </x:c>
      <x:c r="R41" s="3" t="b">
        <x:f>ISBLANK(B41)</x:f>
        <x:v>0</x:v>
      </x:c>
      <x:c r="S41" s="3">
        <x:f>SIGN(E41)</x:f>
        <x:v>1</x:v>
      </x:c>
      <x:c r="T41" s="3" t="b">
        <x:f>ISEVEN(ROW())</x:f>
        <x:v>0</x:v>
      </x:c>
      <x:c r="U41" s="3" t="b">
        <x:f>ISODD(ROW())</x:f>
        <x:v>1</x:v>
      </x:c>
    </x:row>
    <x:row r="42">
      <x:c r="A42" s="2" t="n">
        <x:v>46019</x:v>
      </x:c>
      <x:c r="B42" s="3" t="inlineStr">
        <x:is>
          <x:t xml:space="preserve">Grocery store</x:t>
        </x:is>
      </x:c>
      <x:c r="C42" s="3" t="inlineStr">
        <x:is>
          <x:t xml:space="preserve">Rent</x:t>
        </x:is>
      </x:c>
      <x:c r="D42" s="3" t="inlineStr">
        <x:is>
          <x:t xml:space="preserve">Savings</x:t>
        </x:is>
      </x:c>
      <x:c r="E42" s="4" t="n">
        <x:v>-224.55</x:v>
      </x:c>
      <x:c r="F42" s="5" t="str">
        <x:f>IF(E42&gt;=0,"Income","Expense")</x:f>
        <x:v>Expense</x:v>
      </x:c>
      <x:c r="G42" s="6">
        <x:f>ABS(E42)</x:f>
        <x:v>224.55</x:v>
      </x:c>
      <x:c r="H42" s="4">
        <x:f>ROUND(E42,2)</x:f>
        <x:v>-224.55</x:v>
      </x:c>
      <x:c r="I42" s="5">
        <x:f>MONTH(A42)</x:f>
        <x:v>15</x:v>
      </x:c>
      <x:c r="J42" s="5">
        <x:f>YEAR(A42)</x:f>
        <x:v>15</x:v>
      </x:c>
      <x:c r="K42" s="5">
        <x:f>WEEKNUM(A42,2)</x:f>
        <x:v>52</x:v>
      </x:c>
      <x:c r="L42" s="5">
        <x:f>ISOWEEKNUM(A42)</x:f>
        <x:v>52</x:v>
      </x:c>
      <x:c r="M42" s="5" t="str">
        <x:f>TRIM(CLEAN(B42))</x:f>
        <x:v>Grocery store</x:v>
      </x:c>
      <x:c r="N42" s="5" t="str">
        <x:f>UPPER(M42)</x:f>
        <x:v>GROCERY STORE</x:v>
      </x:c>
      <x:c r="O42" s="5" t="str">
        <x:f>LOWER(M42)</x:f>
        <x:v>grocery store</x:v>
      </x:c>
      <x:c r="P42" s="3" t="str">
        <x:f>PROPER(M42)</x:f>
        <x:v>Grocery Store</x:v>
      </x:c>
      <x:c r="Q42" s="3">
        <x:f>LEN(M42)</x:f>
        <x:v>13</x:v>
      </x:c>
      <x:c r="R42" s="3" t="b">
        <x:f>ISBLANK(B42)</x:f>
        <x:v>0</x:v>
      </x:c>
      <x:c r="S42" s="3">
        <x:f>SIGN(E42)</x:f>
        <x:v>-1</x:v>
      </x:c>
      <x:c r="T42" s="3" t="b">
        <x:f>ISEVEN(ROW())</x:f>
        <x:v>1</x:v>
      </x:c>
      <x:c r="U42" s="3" t="b">
        <x:f>ISODD(ROW())</x:f>
        <x:v>0</x:v>
      </x:c>
    </x:row>
    <x:row r="43">
      <x:c r="A43" s="2" t="n">
        <x:v>45847</x:v>
      </x:c>
      <x:c r="B43" s="3" t="inlineStr">
        <x:is>
          <x:t xml:space="preserve">Policy premium</x:t>
        </x:is>
      </x:c>
      <x:c r="C43" s="3" t="inlineStr">
        <x:is>
          <x:t xml:space="preserve">Utilities</x:t>
        </x:is>
      </x:c>
      <x:c r="D43" s="3" t="inlineStr">
        <x:is>
          <x:t xml:space="preserve">Credit Card</x:t>
        </x:is>
      </x:c>
      <x:c r="E43" s="4" t="n">
        <x:v>-369.94</x:v>
      </x:c>
      <x:c r="F43" s="5" t="str">
        <x:f>IF(E43&gt;=0,"Income","Expense")</x:f>
        <x:v>Expense</x:v>
      </x:c>
      <x:c r="G43" s="6">
        <x:f>ABS(E43)</x:f>
        <x:v>369.94</x:v>
      </x:c>
      <x:c r="H43" s="4">
        <x:f>ROUND(E43,2)</x:f>
        <x:v>-369.94</x:v>
      </x:c>
      <x:c r="I43" s="5">
        <x:f>MONTH(A43)</x:f>
        <x:v>15</x:v>
      </x:c>
      <x:c r="J43" s="5">
        <x:f>YEAR(A43)</x:f>
        <x:v>15</x:v>
      </x:c>
      <x:c r="K43" s="5">
        <x:f>WEEKNUM(A43,2)</x:f>
        <x:v>28</x:v>
      </x:c>
      <x:c r="L43" s="5">
        <x:f>ISOWEEKNUM(A43)</x:f>
        <x:v>28</x:v>
      </x:c>
      <x:c r="M43" s="5" t="str">
        <x:f>TRIM(CLEAN(B43))</x:f>
        <x:v>Policy premium</x:v>
      </x:c>
      <x:c r="N43" s="5" t="str">
        <x:f>UPPER(M43)</x:f>
        <x:v>POLICY PREMIUM</x:v>
      </x:c>
      <x:c r="O43" s="5" t="str">
        <x:f>LOWER(M43)</x:f>
        <x:v>policy premium</x:v>
      </x:c>
      <x:c r="P43" s="3" t="str">
        <x:f>PROPER(M43)</x:f>
        <x:v>Policy Premium</x:v>
      </x:c>
      <x:c r="Q43" s="3">
        <x:f>LEN(M43)</x:f>
        <x:v>14</x:v>
      </x:c>
      <x:c r="R43" s="3" t="b">
        <x:f>ISBLANK(B43)</x:f>
        <x:v>0</x:v>
      </x:c>
      <x:c r="S43" s="3">
        <x:f>SIGN(E43)</x:f>
        <x:v>-1</x:v>
      </x:c>
      <x:c r="T43" s="3" t="b">
        <x:f>ISEVEN(ROW())</x:f>
        <x:v>0</x:v>
      </x:c>
      <x:c r="U43" s="3" t="b">
        <x:f>ISODD(ROW())</x:f>
        <x:v>1</x:v>
      </x:c>
    </x:row>
    <x:row r="44">
      <x:c r="A44" s="2" t="n">
        <x:v>45678</x:v>
      </x:c>
      <x:c r="B44" s="3" t="inlineStr">
        <x:is>
          <x:t xml:space="preserve">Business trip</x:t>
        </x:is>
      </x:c>
      <x:c r="C44" s="3" t="inlineStr">
        <x:is>
          <x:t xml:space="preserve">Travel</x:t>
        </x:is>
      </x:c>
      <x:c r="D44" s="3" t="inlineStr">
        <x:is>
          <x:t xml:space="preserve">Credit Card</x:t>
        </x:is>
      </x:c>
      <x:c r="E44" s="4" t="n">
        <x:v>-1872.41</x:v>
      </x:c>
      <x:c r="F44" s="5" t="str">
        <x:f>IF(E44&gt;=0,"Income","Expense")</x:f>
        <x:v>Expense</x:v>
      </x:c>
      <x:c r="G44" s="6">
        <x:f>ABS(E44)</x:f>
        <x:v>1872.41</x:v>
      </x:c>
      <x:c r="H44" s="4">
        <x:f>ROUND(E44,2)</x:f>
        <x:v>-1872.41</x:v>
      </x:c>
      <x:c r="I44" s="5">
        <x:f>MONTH(A44)</x:f>
        <x:v>15</x:v>
      </x:c>
      <x:c r="J44" s="5">
        <x:f>YEAR(A44)</x:f>
        <x:v>15</x:v>
      </x:c>
      <x:c r="K44" s="5">
        <x:f>WEEKNUM(A44,2)</x:f>
        <x:v>4</x:v>
      </x:c>
      <x:c r="L44" s="5">
        <x:f>ISOWEEKNUM(A44)</x:f>
        <x:v>4</x:v>
      </x:c>
      <x:c r="M44" s="5" t="str">
        <x:f>TRIM(CLEAN(B44))</x:f>
        <x:v>Business trip</x:v>
      </x:c>
      <x:c r="N44" s="5" t="str">
        <x:f>UPPER(M44)</x:f>
        <x:v>BUSINESS TRIP</x:v>
      </x:c>
      <x:c r="O44" s="5" t="str">
        <x:f>LOWER(M44)</x:f>
        <x:v>business trip</x:v>
      </x:c>
      <x:c r="P44" s="3" t="str">
        <x:f>PROPER(M44)</x:f>
        <x:v>Business Trip</x:v>
      </x:c>
      <x:c r="Q44" s="3">
        <x:f>LEN(M44)</x:f>
        <x:v>13</x:v>
      </x:c>
      <x:c r="R44" s="3" t="b">
        <x:f>ISBLANK(B44)</x:f>
        <x:v>0</x:v>
      </x:c>
      <x:c r="S44" s="3">
        <x:f>SIGN(E44)</x:f>
        <x:v>-1</x:v>
      </x:c>
      <x:c r="T44" s="3" t="b">
        <x:f>ISEVEN(ROW())</x:f>
        <x:v>1</x:v>
      </x:c>
      <x:c r="U44" s="3" t="b">
        <x:f>ISODD(ROW())</x:f>
        <x:v>0</x:v>
      </x:c>
    </x:row>
    <x:row r="45">
      <x:c r="A45" s="2" t="n">
        <x:v>45866</x:v>
      </x:c>
      <x:c r="B45" s="3" t="inlineStr">
        <x:is>
          <x:t xml:space="preserve">Business trip
</x:t>
        </x:is>
      </x:c>
      <x:c r="C45" s="3" t="inlineStr">
        <x:is>
          <x:t xml:space="preserve">Utilities</x:t>
        </x:is>
      </x:c>
      <x:c r="D45" s="3" t="inlineStr">
        <x:is>
          <x:t xml:space="preserve">Checking</x:t>
        </x:is>
      </x:c>
      <x:c r="E45" s="4" t="n">
        <x:v>-2422.93</x:v>
      </x:c>
      <x:c r="F45" s="5" t="str">
        <x:f>IF(E45&gt;=0,"Income","Expense")</x:f>
        <x:v>Expense</x:v>
      </x:c>
      <x:c r="G45" s="6">
        <x:f>ABS(E45)</x:f>
        <x:v>2422.93</x:v>
      </x:c>
      <x:c r="H45" s="4">
        <x:f>ROUND(E45,2)</x:f>
        <x:v>-2422.93</x:v>
      </x:c>
      <x:c r="I45" s="5">
        <x:f>MONTH(A45)</x:f>
        <x:v>15</x:v>
      </x:c>
      <x:c r="J45" s="5">
        <x:f>YEAR(A45)</x:f>
        <x:v>15</x:v>
      </x:c>
      <x:c r="K45" s="5">
        <x:f>WEEKNUM(A45,2)</x:f>
        <x:v>31</x:v>
      </x:c>
      <x:c r="L45" s="5">
        <x:f>ISOWEEKNUM(A45)</x:f>
        <x:v>31</x:v>
      </x:c>
      <x:c r="M45" s="5" t="str">
        <x:f>TRIM(CLEAN(B45))</x:f>
        <x:v>Business trip</x:v>
      </x:c>
      <x:c r="N45" s="5" t="str">
        <x:f>UPPER(M45)</x:f>
        <x:v>BUSINESS TRIP</x:v>
      </x:c>
      <x:c r="O45" s="5" t="str">
        <x:f>LOWER(M45)</x:f>
        <x:v>business trip</x:v>
      </x:c>
      <x:c r="P45" s="3" t="str">
        <x:f>PROPER(M45)</x:f>
        <x:v>Business Trip</x:v>
      </x:c>
      <x:c r="Q45" s="3">
        <x:f>LEN(M45)</x:f>
        <x:v>13</x:v>
      </x:c>
      <x:c r="R45" s="3" t="b">
        <x:f>ISBLANK(B45)</x:f>
        <x:v>0</x:v>
      </x:c>
      <x:c r="S45" s="3">
        <x:f>SIGN(E45)</x:f>
        <x:v>-1</x:v>
      </x:c>
      <x:c r="T45" s="3" t="b">
        <x:f>ISEVEN(ROW())</x:f>
        <x:v>0</x:v>
      </x:c>
      <x:c r="U45" s="3" t="b">
        <x:f>ISODD(ROW())</x:f>
        <x:v>1</x:v>
      </x:c>
    </x:row>
    <x:row r="46">
      <x:c r="A46" s="2" t="n">
        <x:v>45828</x:v>
      </x:c>
      <x:c r="B46" s="3" t="inlineStr">
        <x:is>
          <x:t xml:space="preserve">Business trip  </x:t>
        </x:is>
      </x:c>
      <x:c r="C46" s="3" t="inlineStr">
        <x:is>
          <x:t xml:space="preserve">Insurance</x:t>
        </x:is>
      </x:c>
      <x:c r="D46" s="3" t="inlineStr">
        <x:is>
          <x:t xml:space="preserve">Savings</x:t>
        </x:is>
      </x:c>
      <x:c r="E46" s="4" t="n">
        <x:v>-758.05</x:v>
      </x:c>
      <x:c r="F46" s="5" t="str">
        <x:f>IF(E46&gt;=0,"Income","Expense")</x:f>
        <x:v>Expense</x:v>
      </x:c>
      <x:c r="G46" s="6">
        <x:f>ABS(E46)</x:f>
        <x:v>758.05</x:v>
      </x:c>
      <x:c r="H46" s="4">
        <x:f>ROUND(E46,2)</x:f>
        <x:v>-758.05</x:v>
      </x:c>
      <x:c r="I46" s="5">
        <x:f>MONTH(A46)</x:f>
        <x:v>15</x:v>
      </x:c>
      <x:c r="J46" s="5">
        <x:f>YEAR(A46)</x:f>
        <x:v>15</x:v>
      </x:c>
      <x:c r="K46" s="5">
        <x:f>WEEKNUM(A46,2)</x:f>
        <x:v>25</x:v>
      </x:c>
      <x:c r="L46" s="5">
        <x:f>ISOWEEKNUM(A46)</x:f>
        <x:v>25</x:v>
      </x:c>
      <x:c r="M46" s="5" t="str">
        <x:f>TRIM(CLEAN(B46))</x:f>
        <x:v>Business trip</x:v>
      </x:c>
      <x:c r="N46" s="5" t="str">
        <x:f>UPPER(M46)</x:f>
        <x:v>BUSINESS TRIP</x:v>
      </x:c>
      <x:c r="O46" s="5" t="str">
        <x:f>LOWER(M46)</x:f>
        <x:v>business trip</x:v>
      </x:c>
      <x:c r="P46" s="3" t="str">
        <x:f>PROPER(M46)</x:f>
        <x:v>Business Trip</x:v>
      </x:c>
      <x:c r="Q46" s="3">
        <x:f>LEN(M46)</x:f>
        <x:v>13</x:v>
      </x:c>
      <x:c r="R46" s="3" t="b">
        <x:f>ISBLANK(B46)</x:f>
        <x:v>0</x:v>
      </x:c>
      <x:c r="S46" s="3">
        <x:f>SIGN(E46)</x:f>
        <x:v>-1</x:v>
      </x:c>
      <x:c r="T46" s="3" t="b">
        <x:f>ISEVEN(ROW())</x:f>
        <x:v>1</x:v>
      </x:c>
      <x:c r="U46" s="3" t="b">
        <x:f>ISODD(ROW())</x:f>
        <x:v>0</x:v>
      </x:c>
    </x:row>
    <x:row r="47">
      <x:c r="A47" s="2" t="n">
        <x:v>45898</x:v>
      </x:c>
      <x:c r="B47" s="3" t="inlineStr">
        <x:is>
          <x:t xml:space="preserve">Bank interest</x:t>
        </x:is>
      </x:c>
      <x:c r="C47" s="3" t="inlineStr">
        <x:is>
          <x:t xml:space="preserve">Refund</x:t>
        </x:is>
      </x:c>
      <x:c r="D47" s="3" t="inlineStr">
        <x:is>
          <x:t xml:space="preserve">Checking</x:t>
        </x:is>
      </x:c>
      <x:c r="E47" s="4" t="n">
        <x:v>2331.15</x:v>
      </x:c>
      <x:c r="F47" s="5" t="str">
        <x:f>IF(E47&gt;=0,"Income","Expense")</x:f>
        <x:v>Income</x:v>
      </x:c>
      <x:c r="G47" s="6">
        <x:f>ABS(E47)</x:f>
        <x:v>2331.15</x:v>
      </x:c>
      <x:c r="H47" s="4">
        <x:f>ROUND(E47,2)</x:f>
        <x:v>2331.15</x:v>
      </x:c>
      <x:c r="I47" s="5">
        <x:f>MONTH(A47)</x:f>
        <x:v>15</x:v>
      </x:c>
      <x:c r="J47" s="5">
        <x:f>YEAR(A47)</x:f>
        <x:v>15</x:v>
      </x:c>
      <x:c r="K47" s="5">
        <x:f>WEEKNUM(A47,2)</x:f>
        <x:v>35</x:v>
      </x:c>
      <x:c r="L47" s="5">
        <x:f>ISOWEEKNUM(A47)</x:f>
        <x:v>35</x:v>
      </x:c>
      <x:c r="M47" s="5" t="str">
        <x:f>TRIM(CLEAN(B47))</x:f>
        <x:v>Bank interest</x:v>
      </x:c>
      <x:c r="N47" s="5" t="str">
        <x:f>UPPER(M47)</x:f>
        <x:v>BANK INTEREST</x:v>
      </x:c>
      <x:c r="O47" s="5" t="str">
        <x:f>LOWER(M47)</x:f>
        <x:v>bank interest</x:v>
      </x:c>
      <x:c r="P47" s="3" t="str">
        <x:f>PROPER(M47)</x:f>
        <x:v>Bank Interest</x:v>
      </x:c>
      <x:c r="Q47" s="3">
        <x:f>LEN(M47)</x:f>
        <x:v>13</x:v>
      </x:c>
      <x:c r="R47" s="3" t="b">
        <x:f>ISBLANK(B47)</x:f>
        <x:v>0</x:v>
      </x:c>
      <x:c r="S47" s="3">
        <x:f>SIGN(E47)</x:f>
        <x:v>1</x:v>
      </x:c>
      <x:c r="T47" s="3" t="b">
        <x:f>ISEVEN(ROW())</x:f>
        <x:v>0</x:v>
      </x:c>
      <x:c r="U47" s="3" t="b">
        <x:f>ISODD(ROW())</x:f>
        <x:v>1</x:v>
      </x:c>
    </x:row>
    <x:row r="48">
      <x:c r="A48" s="2" t="n">
        <x:v>45862</x:v>
      </x:c>
      <x:c r="B48" s="3" t="inlineStr">
        <x:is>
          <x:t xml:space="preserve">SaaS subscription</x:t>
        </x:is>
      </x:c>
      <x:c r="C48" s="3" t="inlineStr">
        <x:is>
          <x:t xml:space="preserve">Groceries</x:t>
        </x:is>
      </x:c>
      <x:c r="D48" s="3" t="inlineStr">
        <x:is>
          <x:t xml:space="preserve">Savings</x:t>
        </x:is>
      </x:c>
      <x:c r="E48" s="4" t="n">
        <x:v>-992.9400000000001</x:v>
      </x:c>
      <x:c r="F48" s="5" t="str">
        <x:f>IF(E48&gt;=0,"Income","Expense")</x:f>
        <x:v>Expense</x:v>
      </x:c>
      <x:c r="G48" s="6">
        <x:f>ABS(E48)</x:f>
        <x:v>992.94</x:v>
      </x:c>
      <x:c r="H48" s="4">
        <x:f>ROUND(E48,2)</x:f>
        <x:v>-992.94</x:v>
      </x:c>
      <x:c r="I48" s="5">
        <x:f>MONTH(A48)</x:f>
        <x:v>15</x:v>
      </x:c>
      <x:c r="J48" s="5">
        <x:f>YEAR(A48)</x:f>
        <x:v>15</x:v>
      </x:c>
      <x:c r="K48" s="5">
        <x:f>WEEKNUM(A48,2)</x:f>
        <x:v>30</x:v>
      </x:c>
      <x:c r="L48" s="5">
        <x:f>ISOWEEKNUM(A48)</x:f>
        <x:v>30</x:v>
      </x:c>
      <x:c r="M48" s="5" t="str">
        <x:f>TRIM(CLEAN(B48))</x:f>
        <x:v>SaaS subscription</x:v>
      </x:c>
      <x:c r="N48" s="5" t="str">
        <x:f>UPPER(M48)</x:f>
        <x:v>SAAS SUBSCRIPTION</x:v>
      </x:c>
      <x:c r="O48" s="5" t="str">
        <x:f>LOWER(M48)</x:f>
        <x:v>saas subscription</x:v>
      </x:c>
      <x:c r="P48" s="3" t="str">
        <x:f>PROPER(M48)</x:f>
        <x:v>Saas Subscription</x:v>
      </x:c>
      <x:c r="Q48" s="3">
        <x:f>LEN(M48)</x:f>
        <x:v>17</x:v>
      </x:c>
      <x:c r="R48" s="3" t="b">
        <x:f>ISBLANK(B48)</x:f>
        <x:v>0</x:v>
      </x:c>
      <x:c r="S48" s="3">
        <x:f>SIGN(E48)</x:f>
        <x:v>-1</x:v>
      </x:c>
      <x:c r="T48" s="3" t="b">
        <x:f>ISEVEN(ROW())</x:f>
        <x:v>1</x:v>
      </x:c>
      <x:c r="U48" s="3" t="b">
        <x:f>ISODD(ROW())</x:f>
        <x:v>0</x:v>
      </x:c>
    </x:row>
    <x:row r="49">
      <x:c r="A49" s="2" t="n">
        <x:v>45932</x:v>
      </x:c>
      <x:c r="B49" s="3" t="inlineStr">
        <x:is>
          <x:t xml:space="preserve">Grocery store  </x:t>
        </x:is>
      </x:c>
      <x:c r="C49" s="3" t="inlineStr">
        <x:is>
          <x:t xml:space="preserve">Rent</x:t>
        </x:is>
      </x:c>
      <x:c r="D49" s="3" t="inlineStr">
        <x:is>
          <x:t xml:space="preserve">Credit Card</x:t>
        </x:is>
      </x:c>
      <x:c r="E49" s="4" t="n">
        <x:v>-2457.55</x:v>
      </x:c>
      <x:c r="F49" s="5" t="str">
        <x:f>IF(E49&gt;=0,"Income","Expense")</x:f>
        <x:v>Expense</x:v>
      </x:c>
      <x:c r="G49" s="6">
        <x:f>ABS(E49)</x:f>
        <x:v>2457.55</x:v>
      </x:c>
      <x:c r="H49" s="4">
        <x:f>ROUND(E49,2)</x:f>
        <x:v>-2457.55</x:v>
      </x:c>
      <x:c r="I49" s="5">
        <x:f>MONTH(A49)</x:f>
        <x:v>15</x:v>
      </x:c>
      <x:c r="J49" s="5">
        <x:f>YEAR(A49)</x:f>
        <x:v>15</x:v>
      </x:c>
      <x:c r="K49" s="5">
        <x:f>WEEKNUM(A49,2)</x:f>
        <x:v>40</x:v>
      </x:c>
      <x:c r="L49" s="5">
        <x:f>ISOWEEKNUM(A49)</x:f>
        <x:v>40</x:v>
      </x:c>
      <x:c r="M49" s="5" t="str">
        <x:f>TRIM(CLEAN(B49))</x:f>
        <x:v>Grocery store</x:v>
      </x:c>
      <x:c r="N49" s="5" t="str">
        <x:f>UPPER(M49)</x:f>
        <x:v>GROCERY STORE</x:v>
      </x:c>
      <x:c r="O49" s="5" t="str">
        <x:f>LOWER(M49)</x:f>
        <x:v>grocery store</x:v>
      </x:c>
      <x:c r="P49" s="3" t="str">
        <x:f>PROPER(M49)</x:f>
        <x:v>Grocery Store</x:v>
      </x:c>
      <x:c r="Q49" s="3">
        <x:f>LEN(M49)</x:f>
        <x:v>13</x:v>
      </x:c>
      <x:c r="R49" s="3" t="b">
        <x:f>ISBLANK(B49)</x:f>
        <x:v>0</x:v>
      </x:c>
      <x:c r="S49" s="3">
        <x:f>SIGN(E49)</x:f>
        <x:v>-1</x:v>
      </x:c>
      <x:c r="T49" s="3" t="b">
        <x:f>ISEVEN(ROW())</x:f>
        <x:v>0</x:v>
      </x:c>
      <x:c r="U49" s="3" t="b">
        <x:f>ISODD(ROW())</x:f>
        <x:v>1</x:v>
      </x:c>
    </x:row>
    <x:row r="50">
      <x:c r="A50" s="2" t="n">
        <x:v>45793</x:v>
      </x:c>
      <x:c r="B50" s="3" t="inlineStr">
        <x:is>
          <x:t xml:space="preserve">Bank interest</x:t>
        </x:is>
      </x:c>
      <x:c r="C50" s="3" t="inlineStr">
        <x:is>
          <x:t xml:space="preserve">Refund</x:t>
        </x:is>
      </x:c>
      <x:c r="D50" s="3" t="inlineStr">
        <x:is>
          <x:t xml:space="preserve">Savings</x:t>
        </x:is>
      </x:c>
      <x:c r="E50" s="4" t="n">
        <x:v>4871.27</x:v>
      </x:c>
      <x:c r="F50" s="5" t="str">
        <x:f>IF(E50&gt;=0,"Income","Expense")</x:f>
        <x:v>Income</x:v>
      </x:c>
      <x:c r="G50" s="6">
        <x:f>ABS(E50)</x:f>
        <x:v>4871.27</x:v>
      </x:c>
      <x:c r="H50" s="4">
        <x:f>ROUND(E50,2)</x:f>
        <x:v>4871.27</x:v>
      </x:c>
      <x:c r="I50" s="5">
        <x:f>MONTH(A50)</x:f>
        <x:v>15</x:v>
      </x:c>
      <x:c r="J50" s="5">
        <x:f>YEAR(A50)</x:f>
        <x:v>15</x:v>
      </x:c>
      <x:c r="K50" s="5">
        <x:f>WEEKNUM(A50,2)</x:f>
        <x:v>20</x:v>
      </x:c>
      <x:c r="L50" s="5">
        <x:f>ISOWEEKNUM(A50)</x:f>
        <x:v>20</x:v>
      </x:c>
      <x:c r="M50" s="5" t="str">
        <x:f>TRIM(CLEAN(B50))</x:f>
        <x:v>Bank interest</x:v>
      </x:c>
      <x:c r="N50" s="5" t="str">
        <x:f>UPPER(M50)</x:f>
        <x:v>BANK INTEREST</x:v>
      </x:c>
      <x:c r="O50" s="5" t="str">
        <x:f>LOWER(M50)</x:f>
        <x:v>bank interest</x:v>
      </x:c>
      <x:c r="P50" s="3" t="str">
        <x:f>PROPER(M50)</x:f>
        <x:v>Bank Interest</x:v>
      </x:c>
      <x:c r="Q50" s="3">
        <x:f>LEN(M50)</x:f>
        <x:v>13</x:v>
      </x:c>
      <x:c r="R50" s="3" t="b">
        <x:f>ISBLANK(B50)</x:f>
        <x:v>0</x:v>
      </x:c>
      <x:c r="S50" s="3">
        <x:f>SIGN(E50)</x:f>
        <x:v>1</x:v>
      </x:c>
      <x:c r="T50" s="3" t="b">
        <x:f>ISEVEN(ROW())</x:f>
        <x:v>1</x:v>
      </x:c>
      <x:c r="U50" s="3" t="b">
        <x:f>ISODD(ROW())</x:f>
        <x:v>0</x:v>
      </x:c>
    </x:row>
    <x:row r="51">
      <x:c r="A51" s="2" t="n">
        <x:v>45717</x:v>
      </x:c>
      <x:c r="B51" s="3" t="inlineStr">
        <x:is>
          <x:t xml:space="preserve">SaaS subscription  </x:t>
        </x:is>
      </x:c>
      <x:c r="C51" s="3" t="inlineStr">
        <x:is>
          <x:t xml:space="preserve">Travel</x:t>
        </x:is>
      </x:c>
      <x:c r="D51" s="3" t="inlineStr">
        <x:is>
          <x:t xml:space="preserve">Credit Card</x:t>
        </x:is>
      </x:c>
      <x:c r="E51" s="4" t="n">
        <x:v>-138.62</x:v>
      </x:c>
      <x:c r="F51" s="5">
        <x:f>IF(E51&gt;=0,"Income","Expense")</x:f>
      </x:c>
      <x:c r="G51" s="6">
        <x:f>ABS(E51)</x:f>
      </x:c>
      <x:c r="H51" s="4">
        <x:f>ROUND(E51,2)</x:f>
      </x:c>
      <x:c r="I51" s="5">
        <x:f>MONTH(A51)</x:f>
      </x:c>
      <x:c r="J51" s="5">
        <x:f>YEAR(A51)</x:f>
      </x:c>
      <x:c r="K51" s="5">
        <x:f>WEEKNUM(A51,2)</x:f>
      </x:c>
      <x:c r="L51" s="5">
        <x:f>ISOWEEKNUM(A51)</x:f>
      </x:c>
      <x:c r="M51" s="5">
        <x:f>TRIM(CLEAN(B51))</x:f>
      </x:c>
      <x:c r="N51" s="5">
        <x:f>UPPER(M51)</x:f>
      </x:c>
      <x:c r="O51" s="5">
        <x:f>LOWER(M51)</x:f>
      </x:c>
      <x:c r="P51" s="3">
        <x:f>PROPER(M51)</x:f>
      </x:c>
      <x:c r="Q51" s="3">
        <x:f>LEN(M51)</x:f>
      </x:c>
      <x:c r="R51" s="3">
        <x:f>ISBLANK(B51)</x:f>
      </x:c>
      <x:c r="S51" s="3">
        <x:f>SIGN(E51)</x:f>
      </x:c>
      <x:c r="T51" s="3">
        <x:f>ISEVEN(ROW())</x:f>
      </x:c>
      <x:c r="U51" s="3">
        <x:f>ISODD(ROW())</x:f>
      </x:c>
    </x:row>
    <x:row r="52">
      <x:c r="A52" s="2" t="n">
        <x:v>45933</x:v>
      </x:c>
      <x:c r="B52" s="3" t="inlineStr">
        <x:is>
          <x:t xml:space="preserve">Ad spend</x:t>
        </x:is>
      </x:c>
      <x:c r="C52" s="3" t="inlineStr">
        <x:is>
          <x:t xml:space="preserve">Travel</x:t>
        </x:is>
      </x:c>
      <x:c r="D52" s="3" t="inlineStr">
        <x:is>
          <x:t xml:space="preserve">Savings</x:t>
        </x:is>
      </x:c>
      <x:c r="E52" s="4" t="n">
        <x:v>-1216.16</x:v>
      </x:c>
      <x:c r="F52" s="5">
        <x:f>IF(E52&gt;=0,"Income","Expense")</x:f>
      </x:c>
      <x:c r="G52" s="6">
        <x:f>ABS(E52)</x:f>
      </x:c>
      <x:c r="H52" s="4">
        <x:f>ROUND(E52,2)</x:f>
      </x:c>
      <x:c r="I52" s="5">
        <x:f>MONTH(A52)</x:f>
      </x:c>
      <x:c r="J52" s="5">
        <x:f>YEAR(A52)</x:f>
      </x:c>
      <x:c r="K52" s="5">
        <x:f>WEEKNUM(A52,2)</x:f>
      </x:c>
      <x:c r="L52" s="5">
        <x:f>ISOWEEKNUM(A52)</x:f>
      </x:c>
      <x:c r="M52" s="5">
        <x:f>TRIM(CLEAN(B52))</x:f>
      </x:c>
      <x:c r="N52" s="5">
        <x:f>UPPER(M52)</x:f>
      </x:c>
      <x:c r="O52" s="5">
        <x:f>LOWER(M52)</x:f>
      </x:c>
      <x:c r="P52" s="3">
        <x:f>PROPER(M52)</x:f>
      </x:c>
      <x:c r="Q52" s="3">
        <x:f>LEN(M52)</x:f>
      </x:c>
      <x:c r="R52" s="3">
        <x:f>ISBLANK(B52)</x:f>
      </x:c>
      <x:c r="S52" s="3">
        <x:f>SIGN(E52)</x:f>
      </x:c>
      <x:c r="T52" s="3">
        <x:f>ISEVEN(ROW())</x:f>
      </x:c>
      <x:c r="U52" s="3">
        <x:f>ISODD(ROW())</x:f>
      </x:c>
    </x:row>
    <x:row r="53">
      <x:c r="A53" s="2" t="n">
        <x:v>45997</x:v>
      </x:c>
      <x:c r="B53" s="3" t="inlineStr">
        <x:is>
          <x:t xml:space="preserve">SaaS subscription</x:t>
        </x:is>
      </x:c>
      <x:c r="C53" s="3" t="inlineStr">
        <x:is>
          <x:t xml:space="preserve">Software</x:t>
        </x:is>
      </x:c>
      <x:c r="D53" s="3" t="inlineStr">
        <x:is>
          <x:t xml:space="preserve">Credit Card</x:t>
        </x:is>
      </x:c>
      <x:c r="E53" s="4" t="n">
        <x:v>-1872.3</x:v>
      </x:c>
      <x:c r="F53" s="5">
        <x:f>IF(E53&gt;=0,"Income","Expense")</x:f>
      </x:c>
      <x:c r="G53" s="6">
        <x:f>ABS(E53)</x:f>
      </x:c>
      <x:c r="H53" s="4">
        <x:f>ROUND(E53,2)</x:f>
      </x:c>
      <x:c r="I53" s="5">
        <x:f>MONTH(A53)</x:f>
      </x:c>
      <x:c r="J53" s="5">
        <x:f>YEAR(A53)</x:f>
      </x:c>
      <x:c r="K53" s="5">
        <x:f>WEEKNUM(A53,2)</x:f>
      </x:c>
      <x:c r="L53" s="5">
        <x:f>ISOWEEKNUM(A53)</x:f>
      </x:c>
      <x:c r="M53" s="5">
        <x:f>TRIM(CLEAN(B53))</x:f>
      </x:c>
      <x:c r="N53" s="5">
        <x:f>UPPER(M53)</x:f>
      </x:c>
      <x:c r="O53" s="5">
        <x:f>LOWER(M53)</x:f>
      </x:c>
      <x:c r="P53" s="3">
        <x:f>PROPER(M53)</x:f>
      </x:c>
      <x:c r="Q53" s="3">
        <x:f>LEN(M53)</x:f>
      </x:c>
      <x:c r="R53" s="3">
        <x:f>ISBLANK(B53)</x:f>
      </x:c>
      <x:c r="S53" s="3">
        <x:f>SIGN(E53)</x:f>
      </x:c>
      <x:c r="T53" s="3">
        <x:f>ISEVEN(ROW())</x:f>
      </x:c>
      <x:c r="U53" s="3">
        <x:f>ISODD(ROW())</x:f>
      </x:c>
    </x:row>
    <x:row r="54">
      <x:c r="A54" s="2" t="n">
        <x:v>45723</x:v>
      </x:c>
      <x:c r="B54" s="3" t="inlineStr">
        <x:is>
          <x:t xml:space="preserve">Client invoice</x:t>
        </x:is>
      </x:c>
      <x:c r="C54" s="3" t="inlineStr">
        <x:is>
          <x:t xml:space="preserve">Refund</x:t>
        </x:is>
      </x:c>
      <x:c r="D54" s="3" t="inlineStr">
        <x:is>
          <x:t xml:space="preserve">Savings</x:t>
        </x:is>
      </x:c>
      <x:c r="E54" s="4" t="n">
        <x:v>4193.09</x:v>
      </x:c>
      <x:c r="F54" s="5">
        <x:f>IF(E54&gt;=0,"Income","Expense")</x:f>
      </x:c>
      <x:c r="G54" s="6">
        <x:f>ABS(E54)</x:f>
      </x:c>
      <x:c r="H54" s="4">
        <x:f>ROUND(E54,2)</x:f>
      </x:c>
      <x:c r="I54" s="5">
        <x:f>MONTH(A54)</x:f>
      </x:c>
      <x:c r="J54" s="5">
        <x:f>YEAR(A54)</x:f>
      </x:c>
      <x:c r="K54" s="5">
        <x:f>WEEKNUM(A54,2)</x:f>
      </x:c>
      <x:c r="L54" s="5">
        <x:f>ISOWEEKNUM(A54)</x:f>
      </x:c>
      <x:c r="M54" s="5">
        <x:f>TRIM(CLEAN(B54))</x:f>
      </x:c>
      <x:c r="N54" s="5">
        <x:f>UPPER(M54)</x:f>
      </x:c>
      <x:c r="O54" s="5">
        <x:f>LOWER(M54)</x:f>
      </x:c>
      <x:c r="P54" s="3">
        <x:f>PROPER(M54)</x:f>
      </x:c>
      <x:c r="Q54" s="3">
        <x:f>LEN(M54)</x:f>
      </x:c>
      <x:c r="R54" s="3">
        <x:f>ISBLANK(B54)</x:f>
      </x:c>
      <x:c r="S54" s="3">
        <x:f>SIGN(E54)</x:f>
      </x:c>
      <x:c r="T54" s="3">
        <x:f>ISEVEN(ROW())</x:f>
      </x:c>
      <x:c r="U54" s="3">
        <x:f>ISODD(ROW())</x:f>
      </x:c>
    </x:row>
    <x:row r="55">
      <x:c r="A55" s="2" t="n">
        <x:v>45813</x:v>
      </x:c>
      <x:c r="B55" s="3" t="inlineStr">
        <x:is>
          <x:t xml:space="preserve">Ad spend</x:t>
        </x:is>
      </x:c>
      <x:c r="C55" s="3" t="inlineStr">
        <x:is>
          <x:t xml:space="preserve">Insurance</x:t>
        </x:is>
      </x:c>
      <x:c r="D55" s="3" t="inlineStr">
        <x:is>
          <x:t xml:space="preserve">Credit Card</x:t>
        </x:is>
      </x:c>
      <x:c r="E55" s="4" t="n">
        <x:v>-1309.99</x:v>
      </x:c>
      <x:c r="F55" s="5">
        <x:f>IF(E55&gt;=0,"Income","Expense")</x:f>
      </x:c>
      <x:c r="G55" s="6">
        <x:f>ABS(E55)</x:f>
      </x:c>
      <x:c r="H55" s="4">
        <x:f>ROUND(E55,2)</x:f>
      </x:c>
      <x:c r="I55" s="5">
        <x:f>MONTH(A55)</x:f>
      </x:c>
      <x:c r="J55" s="5">
        <x:f>YEAR(A55)</x:f>
      </x:c>
      <x:c r="K55" s="5">
        <x:f>WEEKNUM(A55,2)</x:f>
      </x:c>
      <x:c r="L55" s="5">
        <x:f>ISOWEEKNUM(A55)</x:f>
      </x:c>
      <x:c r="M55" s="5">
        <x:f>TRIM(CLEAN(B55))</x:f>
      </x:c>
      <x:c r="N55" s="5">
        <x:f>UPPER(M55)</x:f>
      </x:c>
      <x:c r="O55" s="5">
        <x:f>LOWER(M55)</x:f>
      </x:c>
      <x:c r="P55" s="3">
        <x:f>PROPER(M55)</x:f>
      </x:c>
      <x:c r="Q55" s="3">
        <x:f>LEN(M55)</x:f>
      </x:c>
      <x:c r="R55" s="3">
        <x:f>ISBLANK(B55)</x:f>
      </x:c>
      <x:c r="S55" s="3">
        <x:f>SIGN(E55)</x:f>
      </x:c>
      <x:c r="T55" s="3">
        <x:f>ISEVEN(ROW())</x:f>
      </x:c>
      <x:c r="U55" s="3">
        <x:f>ISODD(ROW())</x:f>
      </x:c>
    </x:row>
    <x:row r="56">
      <x:c r="A56" s="2" t="n">
        <x:v>45744</x:v>
      </x:c>
      <x:c r="B56" s="3" t="inlineStr">
        <x:is>
          <x:t xml:space="preserve">Ad spend</x:t>
        </x:is>
      </x:c>
      <x:c r="C56" s="3" t="inlineStr">
        <x:is>
          <x:t xml:space="preserve">Software</x:t>
        </x:is>
      </x:c>
      <x:c r="D56" s="3" t="inlineStr">
        <x:is>
          <x:t xml:space="preserve">Checking</x:t>
        </x:is>
      </x:c>
      <x:c r="E56" s="4" t="n">
        <x:v>-275.08</x:v>
      </x:c>
      <x:c r="F56" s="5">
        <x:f>IF(E56&gt;=0,"Income","Expense")</x:f>
      </x:c>
      <x:c r="G56" s="6">
        <x:f>ABS(E56)</x:f>
      </x:c>
      <x:c r="H56" s="4">
        <x:f>ROUND(E56,2)</x:f>
      </x:c>
      <x:c r="I56" s="5">
        <x:f>MONTH(A56)</x:f>
      </x:c>
      <x:c r="J56" s="5">
        <x:f>YEAR(A56)</x:f>
      </x:c>
      <x:c r="K56" s="5">
        <x:f>WEEKNUM(A56,2)</x:f>
      </x:c>
      <x:c r="L56" s="5">
        <x:f>ISOWEEKNUM(A56)</x:f>
      </x:c>
      <x:c r="M56" s="5">
        <x:f>TRIM(CLEAN(B56))</x:f>
      </x:c>
      <x:c r="N56" s="5">
        <x:f>UPPER(M56)</x:f>
      </x:c>
      <x:c r="O56" s="5">
        <x:f>LOWER(M56)</x:f>
      </x:c>
      <x:c r="P56" s="3">
        <x:f>PROPER(M56)</x:f>
      </x:c>
      <x:c r="Q56" s="3">
        <x:f>LEN(M56)</x:f>
      </x:c>
      <x:c r="R56" s="3">
        <x:f>ISBLANK(B56)</x:f>
      </x:c>
      <x:c r="S56" s="3">
        <x:f>SIGN(E56)</x:f>
      </x:c>
      <x:c r="T56" s="3">
        <x:f>ISEVEN(ROW())</x:f>
      </x:c>
      <x:c r="U56" s="3">
        <x:f>ISODD(ROW())</x:f>
      </x:c>
    </x:row>
    <x:row r="57">
      <x:c r="A57" s="2" t="n">
        <x:v>45759</x:v>
      </x:c>
      <x:c r="B57" s="3" t="inlineStr">
        <x:is>
          <x:t xml:space="preserve">Client invoice</x:t>
        </x:is>
      </x:c>
      <x:c r="C57" s="3" t="inlineStr">
        <x:is>
          <x:t xml:space="preserve">Salary</x:t>
        </x:is>
      </x:c>
      <x:c r="D57" s="3" t="inlineStr">
        <x:is>
          <x:t xml:space="preserve">Checking</x:t>
        </x:is>
      </x:c>
      <x:c r="E57" s="4" t="n">
        <x:v>6403.62</x:v>
      </x:c>
      <x:c r="F57" s="5">
        <x:f>IF(E57&gt;=0,"Income","Expense")</x:f>
      </x:c>
      <x:c r="G57" s="6">
        <x:f>ABS(E57)</x:f>
      </x:c>
      <x:c r="H57" s="4">
        <x:f>ROUND(E57,2)</x:f>
      </x:c>
      <x:c r="I57" s="5">
        <x:f>MONTH(A57)</x:f>
      </x:c>
      <x:c r="J57" s="5">
        <x:f>YEAR(A57)</x:f>
      </x:c>
      <x:c r="K57" s="5">
        <x:f>WEEKNUM(A57,2)</x:f>
      </x:c>
      <x:c r="L57" s="5">
        <x:f>ISOWEEKNUM(A57)</x:f>
      </x:c>
      <x:c r="M57" s="5">
        <x:f>TRIM(CLEAN(B57))</x:f>
      </x:c>
      <x:c r="N57" s="5">
        <x:f>UPPER(M57)</x:f>
      </x:c>
      <x:c r="O57" s="5">
        <x:f>LOWER(M57)</x:f>
      </x:c>
      <x:c r="P57" s="3">
        <x:f>PROPER(M57)</x:f>
      </x:c>
      <x:c r="Q57" s="3">
        <x:f>LEN(M57)</x:f>
      </x:c>
      <x:c r="R57" s="3">
        <x:f>ISBLANK(B57)</x:f>
      </x:c>
      <x:c r="S57" s="3">
        <x:f>SIGN(E57)</x:f>
      </x:c>
      <x:c r="T57" s="3">
        <x:f>ISEVEN(ROW())</x:f>
      </x:c>
      <x:c r="U57" s="3">
        <x:f>ISODD(ROW())</x:f>
      </x:c>
    </x:row>
    <x:row r="58">
      <x:c r="A58" s="2" t="n">
        <x:v>45952</x:v>
      </x:c>
      <x:c r="B58" s="3" t="inlineStr">
        <x:is>
          <x:t xml:space="preserve">Tax refund
</x:t>
        </x:is>
      </x:c>
      <x:c r="C58" s="3" t="inlineStr">
        <x:is>
          <x:t xml:space="preserve">Refund</x:t>
        </x:is>
      </x:c>
      <x:c r="D58" s="3" t="inlineStr">
        <x:is>
          <x:t xml:space="preserve">Checking</x:t>
        </x:is>
      </x:c>
      <x:c r="E58" s="4" t="n">
        <x:v>2897.92</x:v>
      </x:c>
      <x:c r="F58" s="5">
        <x:f>IF(E58&gt;=0,"Income","Expense")</x:f>
      </x:c>
      <x:c r="G58" s="6">
        <x:f>ABS(E58)</x:f>
      </x:c>
      <x:c r="H58" s="4">
        <x:f>ROUND(E58,2)</x:f>
      </x:c>
      <x:c r="I58" s="5">
        <x:f>MONTH(A58)</x:f>
      </x:c>
      <x:c r="J58" s="5">
        <x:f>YEAR(A58)</x:f>
      </x:c>
      <x:c r="K58" s="5">
        <x:f>WEEKNUM(A58,2)</x:f>
      </x:c>
      <x:c r="L58" s="5">
        <x:f>ISOWEEKNUM(A58)</x:f>
      </x:c>
      <x:c r="M58" s="5">
        <x:f>TRIM(CLEAN(B58))</x:f>
      </x:c>
      <x:c r="N58" s="5">
        <x:f>UPPER(M58)</x:f>
      </x:c>
      <x:c r="O58" s="5">
        <x:f>LOWER(M58)</x:f>
      </x:c>
      <x:c r="P58" s="3">
        <x:f>PROPER(M58)</x:f>
      </x:c>
      <x:c r="Q58" s="3">
        <x:f>LEN(M58)</x:f>
      </x:c>
      <x:c r="R58" s="3">
        <x:f>ISBLANK(B58)</x:f>
      </x:c>
      <x:c r="S58" s="3">
        <x:f>SIGN(E58)</x:f>
      </x:c>
      <x:c r="T58" s="3">
        <x:f>ISEVEN(ROW())</x:f>
      </x:c>
      <x:c r="U58" s="3">
        <x:f>ISODD(ROW())</x:f>
      </x:c>
    </x:row>
    <x:row r="59">
      <x:c r="A59" s="2" t="n">
        <x:v>45712</x:v>
      </x:c>
      <x:c r="B59" s="3" t="inlineStr">
        <x:is>
          <x:t xml:space="preserve">Electric bill
</x:t>
        </x:is>
      </x:c>
      <x:c r="C59" s="3" t="inlineStr">
        <x:is>
          <x:t xml:space="preserve">Travel</x:t>
        </x:is>
      </x:c>
      <x:c r="D59" s="3" t="inlineStr">
        <x:is>
          <x:t xml:space="preserve">Savings</x:t>
        </x:is>
      </x:c>
      <x:c r="E59" s="4" t="n">
        <x:v>-2254.45</x:v>
      </x:c>
      <x:c r="F59" s="5">
        <x:f>IF(E59&gt;=0,"Income","Expense")</x:f>
      </x:c>
      <x:c r="G59" s="6">
        <x:f>ABS(E59)</x:f>
      </x:c>
      <x:c r="H59" s="4">
        <x:f>ROUND(E59,2)</x:f>
      </x:c>
      <x:c r="I59" s="5">
        <x:f>MONTH(A59)</x:f>
      </x:c>
      <x:c r="J59" s="5">
        <x:f>YEAR(A59)</x:f>
      </x:c>
      <x:c r="K59" s="5">
        <x:f>WEEKNUM(A59,2)</x:f>
      </x:c>
      <x:c r="L59" s="5">
        <x:f>ISOWEEKNUM(A59)</x:f>
      </x:c>
      <x:c r="M59" s="5">
        <x:f>TRIM(CLEAN(B59))</x:f>
      </x:c>
      <x:c r="N59" s="5">
        <x:f>UPPER(M59)</x:f>
      </x:c>
      <x:c r="O59" s="5">
        <x:f>LOWER(M59)</x:f>
      </x:c>
      <x:c r="P59" s="3">
        <x:f>PROPER(M59)</x:f>
      </x:c>
      <x:c r="Q59" s="3">
        <x:f>LEN(M59)</x:f>
      </x:c>
      <x:c r="R59" s="3">
        <x:f>ISBLANK(B59)</x:f>
      </x:c>
      <x:c r="S59" s="3">
        <x:f>SIGN(E59)</x:f>
      </x:c>
      <x:c r="T59" s="3">
        <x:f>ISEVEN(ROW())</x:f>
      </x:c>
      <x:c r="U59" s="3">
        <x:f>ISODD(ROW())</x:f>
      </x:c>
    </x:row>
    <x:row r="60">
      <x:c r="A60" s="2" t="n">
        <x:v>45785</x:v>
      </x:c>
      <x:c r="B60" s="3" t="inlineStr">
        <x:is>
          <x:t xml:space="preserve">Estimated tax</x:t>
        </x:is>
      </x:c>
      <x:c r="C60" s="3" t="inlineStr">
        <x:is>
          <x:t xml:space="preserve">Groceries</x:t>
        </x:is>
      </x:c>
      <x:c r="D60" s="3" t="inlineStr">
        <x:is>
          <x:t xml:space="preserve">Credit Card</x:t>
        </x:is>
      </x:c>
      <x:c r="E60" s="4" t="n">
        <x:v>-386.35</x:v>
      </x:c>
      <x:c r="F60" s="5">
        <x:f>IF(E60&gt;=0,"Income","Expense")</x:f>
      </x:c>
      <x:c r="G60" s="6">
        <x:f>ABS(E60)</x:f>
      </x:c>
      <x:c r="H60" s="4">
        <x:f>ROUND(E60,2)</x:f>
      </x:c>
      <x:c r="I60" s="5">
        <x:f>MONTH(A60)</x:f>
      </x:c>
      <x:c r="J60" s="5">
        <x:f>YEAR(A60)</x:f>
      </x:c>
      <x:c r="K60" s="5">
        <x:f>WEEKNUM(A60,2)</x:f>
      </x:c>
      <x:c r="L60" s="5">
        <x:f>ISOWEEKNUM(A60)</x:f>
      </x:c>
      <x:c r="M60" s="5">
        <x:f>TRIM(CLEAN(B60))</x:f>
      </x:c>
      <x:c r="N60" s="5">
        <x:f>UPPER(M60)</x:f>
      </x:c>
      <x:c r="O60" s="5">
        <x:f>LOWER(M60)</x:f>
      </x:c>
      <x:c r="P60" s="3">
        <x:f>PROPER(M60)</x:f>
      </x:c>
      <x:c r="Q60" s="3">
        <x:f>LEN(M60)</x:f>
      </x:c>
      <x:c r="R60" s="3">
        <x:f>ISBLANK(B60)</x:f>
      </x:c>
      <x:c r="S60" s="3">
        <x:f>SIGN(E60)</x:f>
      </x:c>
      <x:c r="T60" s="3">
        <x:f>ISEVEN(ROW())</x:f>
      </x:c>
      <x:c r="U60" s="3">
        <x:f>ISODD(ROW())</x:f>
      </x:c>
    </x:row>
    <x:row r="61">
      <x:c r="A61" s="2" t="n">
        <x:v>45962</x:v>
      </x:c>
      <x:c r="B61" s="3" t="inlineStr">
        <x:is>
          <x:t xml:space="preserve">Policy premium</x:t>
        </x:is>
      </x:c>
      <x:c r="C61" s="3" t="inlineStr">
        <x:is>
          <x:t xml:space="preserve">Tax</x:t>
        </x:is>
      </x:c>
      <x:c r="D61" s="3" t="inlineStr">
        <x:is>
          <x:t xml:space="preserve">Savings</x:t>
        </x:is>
      </x:c>
      <x:c r="E61" s="4" t="n">
        <x:v>-2328.14</x:v>
      </x:c>
      <x:c r="F61" s="5">
        <x:f>IF(E61&gt;=0,"Income","Expense")</x:f>
      </x:c>
      <x:c r="G61" s="6">
        <x:f>ABS(E61)</x:f>
      </x:c>
      <x:c r="H61" s="4">
        <x:f>ROUND(E61,2)</x:f>
      </x:c>
      <x:c r="I61" s="5">
        <x:f>MONTH(A61)</x:f>
      </x:c>
      <x:c r="J61" s="5">
        <x:f>YEAR(A61)</x:f>
      </x:c>
      <x:c r="K61" s="5">
        <x:f>WEEKNUM(A61,2)</x:f>
      </x:c>
      <x:c r="L61" s="5">
        <x:f>ISOWEEKNUM(A61)</x:f>
      </x:c>
      <x:c r="M61" s="5">
        <x:f>TRIM(CLEAN(B61))</x:f>
      </x:c>
      <x:c r="N61" s="5">
        <x:f>UPPER(M61)</x:f>
      </x:c>
      <x:c r="O61" s="5">
        <x:f>LOWER(M61)</x:f>
      </x:c>
      <x:c r="P61" s="3">
        <x:f>PROPER(M61)</x:f>
      </x:c>
      <x:c r="Q61" s="3">
        <x:f>LEN(M61)</x:f>
      </x:c>
      <x:c r="R61" s="3">
        <x:f>ISBLANK(B61)</x:f>
      </x:c>
      <x:c r="S61" s="3">
        <x:f>SIGN(E61)</x:f>
      </x:c>
      <x:c r="T61" s="3">
        <x:f>ISEVEN(ROW())</x:f>
      </x:c>
      <x:c r="U61" s="3">
        <x:f>ISODD(ROW())</x:f>
      </x:c>
    </x:row>
    <x:row r="62">
      <x:c r="A62" s="2" t="n">
        <x:v>45901</x:v>
      </x:c>
      <x:c r="B62" s="3" t="inlineStr">
        <x:is>
          <x:t xml:space="preserve">SaaS subscription</x:t>
        </x:is>
      </x:c>
      <x:c r="C62" s="3" t="inlineStr">
        <x:is>
          <x:t xml:space="preserve">Travel</x:t>
        </x:is>
      </x:c>
      <x:c r="D62" s="3" t="inlineStr">
        <x:is>
          <x:t xml:space="preserve">Savings</x:t>
        </x:is>
      </x:c>
      <x:c r="E62" s="4" t="n">
        <x:v>-2147.79</x:v>
      </x:c>
      <x:c r="F62" s="5">
        <x:f>IF(E62&gt;=0,"Income","Expense")</x:f>
      </x:c>
      <x:c r="G62" s="6">
        <x:f>ABS(E62)</x:f>
      </x:c>
      <x:c r="H62" s="4">
        <x:f>ROUND(E62,2)</x:f>
      </x:c>
      <x:c r="I62" s="5">
        <x:f>MONTH(A62)</x:f>
      </x:c>
      <x:c r="J62" s="5">
        <x:f>YEAR(A62)</x:f>
      </x:c>
      <x:c r="K62" s="5">
        <x:f>WEEKNUM(A62,2)</x:f>
      </x:c>
      <x:c r="L62" s="5">
        <x:f>ISOWEEKNUM(A62)</x:f>
      </x:c>
      <x:c r="M62" s="5">
        <x:f>TRIM(CLEAN(B62))</x:f>
      </x:c>
      <x:c r="N62" s="5">
        <x:f>UPPER(M62)</x:f>
      </x:c>
      <x:c r="O62" s="5">
        <x:f>LOWER(M62)</x:f>
      </x:c>
      <x:c r="P62" s="3">
        <x:f>PROPER(M62)</x:f>
      </x:c>
      <x:c r="Q62" s="3">
        <x:f>LEN(M62)</x:f>
      </x:c>
      <x:c r="R62" s="3">
        <x:f>ISBLANK(B62)</x:f>
      </x:c>
      <x:c r="S62" s="3">
        <x:f>SIGN(E62)</x:f>
      </x:c>
      <x:c r="T62" s="3">
        <x:f>ISEVEN(ROW())</x:f>
      </x:c>
      <x:c r="U62" s="3">
        <x:f>ISODD(ROW())</x:f>
      </x:c>
    </x:row>
    <x:row r="63">
      <x:c r="A63" s="2" t="n">
        <x:v>45883</x:v>
      </x:c>
      <x:c r="B63" s="3" t="inlineStr">
        <x:is>
          <x:t xml:space="preserve">Client invoice
</x:t>
        </x:is>
      </x:c>
      <x:c r="C63" s="3" t="inlineStr">
        <x:is>
          <x:t xml:space="preserve">Interest</x:t>
        </x:is>
      </x:c>
      <x:c r="D63" s="3" t="inlineStr">
        <x:is>
          <x:t xml:space="preserve">Savings</x:t>
        </x:is>
      </x:c>
      <x:c r="E63" s="4" t="n">
        <x:v>2130.29</x:v>
      </x:c>
      <x:c r="F63" s="5">
        <x:f>IF(E63&gt;=0,"Income","Expense")</x:f>
      </x:c>
      <x:c r="G63" s="6">
        <x:f>ABS(E63)</x:f>
      </x:c>
      <x:c r="H63" s="4">
        <x:f>ROUND(E63,2)</x:f>
      </x:c>
      <x:c r="I63" s="5">
        <x:f>MONTH(A63)</x:f>
      </x:c>
      <x:c r="J63" s="5">
        <x:f>YEAR(A63)</x:f>
      </x:c>
      <x:c r="K63" s="5">
        <x:f>WEEKNUM(A63,2)</x:f>
      </x:c>
      <x:c r="L63" s="5">
        <x:f>ISOWEEKNUM(A63)</x:f>
      </x:c>
      <x:c r="M63" s="5">
        <x:f>TRIM(CLEAN(B63))</x:f>
      </x:c>
      <x:c r="N63" s="5">
        <x:f>UPPER(M63)</x:f>
      </x:c>
      <x:c r="O63" s="5">
        <x:f>LOWER(M63)</x:f>
      </x:c>
      <x:c r="P63" s="3">
        <x:f>PROPER(M63)</x:f>
      </x:c>
      <x:c r="Q63" s="3">
        <x:f>LEN(M63)</x:f>
      </x:c>
      <x:c r="R63" s="3">
        <x:f>ISBLANK(B63)</x:f>
      </x:c>
      <x:c r="S63" s="3">
        <x:f>SIGN(E63)</x:f>
      </x:c>
      <x:c r="T63" s="3">
        <x:f>ISEVEN(ROW())</x:f>
      </x:c>
      <x:c r="U63" s="3">
        <x:f>ISODD(ROW())</x:f>
      </x:c>
    </x:row>
    <x:row r="64">
      <x:c r="A64" s="2" t="n">
        <x:v>45735</x:v>
      </x:c>
      <x:c r="B64" s="3" t="inlineStr">
        <x:is>
          <x:t xml:space="preserve">Client invoice</x:t>
        </x:is>
      </x:c>
      <x:c r="C64" s="3" t="inlineStr">
        <x:is>
          <x:t xml:space="preserve">Consulting</x:t>
        </x:is>
      </x:c>
      <x:c r="D64" s="3" t="inlineStr">
        <x:is>
          <x:t xml:space="preserve">Savings</x:t>
        </x:is>
      </x:c>
      <x:c r="E64" s="4" t="n">
        <x:v>885.37</x:v>
      </x:c>
      <x:c r="F64" s="5">
        <x:f>IF(E64&gt;=0,"Income","Expense")</x:f>
      </x:c>
      <x:c r="G64" s="6">
        <x:f>ABS(E64)</x:f>
      </x:c>
      <x:c r="H64" s="4">
        <x:f>ROUND(E64,2)</x:f>
      </x:c>
      <x:c r="I64" s="5">
        <x:f>MONTH(A64)</x:f>
      </x:c>
      <x:c r="J64" s="5">
        <x:f>YEAR(A64)</x:f>
      </x:c>
      <x:c r="K64" s="5">
        <x:f>WEEKNUM(A64,2)</x:f>
      </x:c>
      <x:c r="L64" s="5">
        <x:f>ISOWEEKNUM(A64)</x:f>
      </x:c>
      <x:c r="M64" s="5">
        <x:f>TRIM(CLEAN(B64))</x:f>
      </x:c>
      <x:c r="N64" s="5">
        <x:f>UPPER(M64)</x:f>
      </x:c>
      <x:c r="O64" s="5">
        <x:f>LOWER(M64)</x:f>
      </x:c>
      <x:c r="P64" s="3">
        <x:f>PROPER(M64)</x:f>
      </x:c>
      <x:c r="Q64" s="3">
        <x:f>LEN(M64)</x:f>
      </x:c>
      <x:c r="R64" s="3">
        <x:f>ISBLANK(B64)</x:f>
      </x:c>
      <x:c r="S64" s="3">
        <x:f>SIGN(E64)</x:f>
      </x:c>
      <x:c r="T64" s="3">
        <x:f>ISEVEN(ROW())</x:f>
      </x:c>
      <x:c r="U64" s="3">
        <x:f>ISODD(ROW())</x:f>
      </x:c>
    </x:row>
    <x:row r="65">
      <x:c r="A65" s="2" t="n">
        <x:v>45689</x:v>
      </x:c>
      <x:c r="B65" s="3" t="inlineStr">
        <x:is>
          <x:t xml:space="preserve">Tax refund</x:t>
        </x:is>
      </x:c>
      <x:c r="C65" s="3" t="inlineStr">
        <x:is>
          <x:t xml:space="preserve">Refund</x:t>
        </x:is>
      </x:c>
      <x:c r="D65" s="3" t="inlineStr">
        <x:is>
          <x:t xml:space="preserve">Checking</x:t>
        </x:is>
      </x:c>
      <x:c r="E65" s="4" t="n">
        <x:v>5929.03</x:v>
      </x:c>
      <x:c r="F65" s="5">
        <x:f>IF(E65&gt;=0,"Income","Expense")</x:f>
      </x:c>
      <x:c r="G65" s="6">
        <x:f>ABS(E65)</x:f>
      </x:c>
      <x:c r="H65" s="4">
        <x:f>ROUND(E65,2)</x:f>
      </x:c>
      <x:c r="I65" s="5">
        <x:f>MONTH(A65)</x:f>
      </x:c>
      <x:c r="J65" s="5">
        <x:f>YEAR(A65)</x:f>
      </x:c>
      <x:c r="K65" s="5">
        <x:f>WEEKNUM(A65,2)</x:f>
      </x:c>
      <x:c r="L65" s="5">
        <x:f>ISOWEEKNUM(A65)</x:f>
      </x:c>
      <x:c r="M65" s="5">
        <x:f>TRIM(CLEAN(B65))</x:f>
      </x:c>
      <x:c r="N65" s="5">
        <x:f>UPPER(M65)</x:f>
      </x:c>
      <x:c r="O65" s="5">
        <x:f>LOWER(M65)</x:f>
      </x:c>
      <x:c r="P65" s="3">
        <x:f>PROPER(M65)</x:f>
      </x:c>
      <x:c r="Q65" s="3">
        <x:f>LEN(M65)</x:f>
      </x:c>
      <x:c r="R65" s="3">
        <x:f>ISBLANK(B65)</x:f>
      </x:c>
      <x:c r="S65" s="3">
        <x:f>SIGN(E65)</x:f>
      </x:c>
      <x:c r="T65" s="3">
        <x:f>ISEVEN(ROW())</x:f>
      </x:c>
      <x:c r="U65" s="3">
        <x:f>ISODD(ROW())</x:f>
      </x:c>
    </x:row>
    <x:row r="66">
      <x:c r="A66" s="2" t="n">
        <x:v>45852</x:v>
      </x:c>
      <x:c r="B66" s="3" t="inlineStr">
        <x:is>
          <x:t xml:space="preserve">SaaS subscription</x:t>
        </x:is>
      </x:c>
      <x:c r="C66" s="3" t="inlineStr">
        <x:is>
          <x:t xml:space="preserve">Marketing</x:t>
        </x:is>
      </x:c>
      <x:c r="D66" s="3" t="inlineStr">
        <x:is>
          <x:t xml:space="preserve">Credit Card</x:t>
        </x:is>
      </x:c>
      <x:c r="E66" s="4" t="n">
        <x:v>-2113.43</x:v>
      </x:c>
      <x:c r="F66" s="5">
        <x:f>IF(E66&gt;=0,"Income","Expense")</x:f>
      </x:c>
      <x:c r="G66" s="6">
        <x:f>ABS(E66)</x:f>
      </x:c>
      <x:c r="H66" s="4">
        <x:f>ROUND(E66,2)</x:f>
      </x:c>
      <x:c r="I66" s="5">
        <x:f>MONTH(A66)</x:f>
      </x:c>
      <x:c r="J66" s="5">
        <x:f>YEAR(A66)</x:f>
      </x:c>
      <x:c r="K66" s="5">
        <x:f>WEEKNUM(A66,2)</x:f>
      </x:c>
      <x:c r="L66" s="5">
        <x:f>ISOWEEKNUM(A66)</x:f>
      </x:c>
      <x:c r="M66" s="5">
        <x:f>TRIM(CLEAN(B66))</x:f>
      </x:c>
      <x:c r="N66" s="5">
        <x:f>UPPER(M66)</x:f>
      </x:c>
      <x:c r="O66" s="5">
        <x:f>LOWER(M66)</x:f>
      </x:c>
      <x:c r="P66" s="3">
        <x:f>PROPER(M66)</x:f>
      </x:c>
      <x:c r="Q66" s="3">
        <x:f>LEN(M66)</x:f>
      </x:c>
      <x:c r="R66" s="3">
        <x:f>ISBLANK(B66)</x:f>
      </x:c>
      <x:c r="S66" s="3">
        <x:f>SIGN(E66)</x:f>
      </x:c>
      <x:c r="T66" s="3">
        <x:f>ISEVEN(ROW())</x:f>
      </x:c>
      <x:c r="U66" s="3">
        <x:f>ISODD(ROW())</x:f>
      </x:c>
    </x:row>
    <x:row r="67">
      <x:c r="A67" s="2" t="n">
        <x:v>45966</x:v>
      </x:c>
      <x:c r="B67" s="3" t="inlineStr">
        <x:is>
          <x:t xml:space="preserve">Business trip  </x:t>
        </x:is>
      </x:c>
      <x:c r="C67" s="3" t="inlineStr">
        <x:is>
          <x:t xml:space="preserve">Tax</x:t>
        </x:is>
      </x:c>
      <x:c r="D67" s="3" t="inlineStr">
        <x:is>
          <x:t xml:space="preserve">Credit Card</x:t>
        </x:is>
      </x:c>
      <x:c r="E67" s="4" t="n">
        <x:v>-775.12</x:v>
      </x:c>
      <x:c r="F67" s="5">
        <x:f>IF(E67&gt;=0,"Income","Expense")</x:f>
      </x:c>
      <x:c r="G67" s="6">
        <x:f>ABS(E67)</x:f>
      </x:c>
      <x:c r="H67" s="4">
        <x:f>ROUND(E67,2)</x:f>
      </x:c>
      <x:c r="I67" s="5">
        <x:f>MONTH(A67)</x:f>
      </x:c>
      <x:c r="J67" s="5">
        <x:f>YEAR(A67)</x:f>
      </x:c>
      <x:c r="K67" s="5">
        <x:f>WEEKNUM(A67,2)</x:f>
      </x:c>
      <x:c r="L67" s="5">
        <x:f>ISOWEEKNUM(A67)</x:f>
      </x:c>
      <x:c r="M67" s="5">
        <x:f>TRIM(CLEAN(B67))</x:f>
      </x:c>
      <x:c r="N67" s="5">
        <x:f>UPPER(M67)</x:f>
      </x:c>
      <x:c r="O67" s="5">
        <x:f>LOWER(M67)</x:f>
      </x:c>
      <x:c r="P67" s="3">
        <x:f>PROPER(M67)</x:f>
      </x:c>
      <x:c r="Q67" s="3">
        <x:f>LEN(M67)</x:f>
      </x:c>
      <x:c r="R67" s="3">
        <x:f>ISBLANK(B67)</x:f>
      </x:c>
      <x:c r="S67" s="3">
        <x:f>SIGN(E67)</x:f>
      </x:c>
      <x:c r="T67" s="3">
        <x:f>ISEVEN(ROW())</x:f>
      </x:c>
      <x:c r="U67" s="3">
        <x:f>ISODD(ROW())</x:f>
      </x:c>
    </x:row>
    <x:row r="68">
      <x:c r="A68" s="2" t="n">
        <x:v>46005</x:v>
      </x:c>
      <x:c r="B68" s="3" t="inlineStr">
        <x:is>
          <x:t xml:space="preserve">Estimated tax</x:t>
        </x:is>
      </x:c>
      <x:c r="C68" s="3" t="inlineStr">
        <x:is>
          <x:t xml:space="preserve">Utilities</x:t>
        </x:is>
      </x:c>
      <x:c r="D68" s="3" t="inlineStr">
        <x:is>
          <x:t xml:space="preserve">Savings</x:t>
        </x:is>
      </x:c>
      <x:c r="E68" s="4" t="n">
        <x:v>-2575.92</x:v>
      </x:c>
      <x:c r="F68" s="5">
        <x:f>IF(E68&gt;=0,"Income","Expense")</x:f>
      </x:c>
      <x:c r="G68" s="6">
        <x:f>ABS(E68)</x:f>
      </x:c>
      <x:c r="H68" s="4">
        <x:f>ROUND(E68,2)</x:f>
      </x:c>
      <x:c r="I68" s="5">
        <x:f>MONTH(A68)</x:f>
      </x:c>
      <x:c r="J68" s="5">
        <x:f>YEAR(A68)</x:f>
      </x:c>
      <x:c r="K68" s="5">
        <x:f>WEEKNUM(A68,2)</x:f>
      </x:c>
      <x:c r="L68" s="5">
        <x:f>ISOWEEKNUM(A68)</x:f>
      </x:c>
      <x:c r="M68" s="5">
        <x:f>TRIM(CLEAN(B68))</x:f>
      </x:c>
      <x:c r="N68" s="5">
        <x:f>UPPER(M68)</x:f>
      </x:c>
      <x:c r="O68" s="5">
        <x:f>LOWER(M68)</x:f>
      </x:c>
      <x:c r="P68" s="3">
        <x:f>PROPER(M68)</x:f>
      </x:c>
      <x:c r="Q68" s="3">
        <x:f>LEN(M68)</x:f>
      </x:c>
      <x:c r="R68" s="3">
        <x:f>ISBLANK(B68)</x:f>
      </x:c>
      <x:c r="S68" s="3">
        <x:f>SIGN(E68)</x:f>
      </x:c>
      <x:c r="T68" s="3">
        <x:f>ISEVEN(ROW())</x:f>
      </x:c>
      <x:c r="U68" s="3">
        <x:f>ISODD(ROW())</x:f>
      </x:c>
    </x:row>
    <x:row r="69">
      <x:c r="A69" s="2" t="n">
        <x:v>45961</x:v>
      </x:c>
      <x:c r="B69" s="3" t="inlineStr">
        <x:is>
          <x:t xml:space="preserve">Grocery store</x:t>
        </x:is>
      </x:c>
      <x:c r="C69" s="3" t="inlineStr">
        <x:is>
          <x:t xml:space="preserve">Rent</x:t>
        </x:is>
      </x:c>
      <x:c r="D69" s="3" t="inlineStr">
        <x:is>
          <x:t xml:space="preserve">Checking</x:t>
        </x:is>
      </x:c>
      <x:c r="E69" s="4" t="n">
        <x:v>-1805.06</x:v>
      </x:c>
      <x:c r="F69" s="5">
        <x:f>IF(E69&gt;=0,"Income","Expense")</x:f>
      </x:c>
      <x:c r="G69" s="6">
        <x:f>ABS(E69)</x:f>
      </x:c>
      <x:c r="H69" s="4">
        <x:f>ROUND(E69,2)</x:f>
      </x:c>
      <x:c r="I69" s="5">
        <x:f>MONTH(A69)</x:f>
      </x:c>
      <x:c r="J69" s="5">
        <x:f>YEAR(A69)</x:f>
      </x:c>
      <x:c r="K69" s="5">
        <x:f>WEEKNUM(A69,2)</x:f>
      </x:c>
      <x:c r="L69" s="5">
        <x:f>ISOWEEKNUM(A69)</x:f>
      </x:c>
      <x:c r="M69" s="5">
        <x:f>TRIM(CLEAN(B69))</x:f>
      </x:c>
      <x:c r="N69" s="5">
        <x:f>UPPER(M69)</x:f>
      </x:c>
      <x:c r="O69" s="5">
        <x:f>LOWER(M69)</x:f>
      </x:c>
      <x:c r="P69" s="3">
        <x:f>PROPER(M69)</x:f>
      </x:c>
      <x:c r="Q69" s="3">
        <x:f>LEN(M69)</x:f>
      </x:c>
      <x:c r="R69" s="3">
        <x:f>ISBLANK(B69)</x:f>
      </x:c>
      <x:c r="S69" s="3">
        <x:f>SIGN(E69)</x:f>
      </x:c>
      <x:c r="T69" s="3">
        <x:f>ISEVEN(ROW())</x:f>
      </x:c>
      <x:c r="U69" s="3">
        <x:f>ISODD(ROW())</x:f>
      </x:c>
    </x:row>
    <x:row r="70">
      <x:c r="A70" s="2" t="n">
        <x:v>45791</x:v>
      </x:c>
      <x:c r="B70" s="3" t="inlineStr">
        <x:is>
          <x:t xml:space="preserve">Estimated tax</x:t>
        </x:is>
      </x:c>
      <x:c r="C70" s="3" t="inlineStr">
        <x:is>
          <x:t xml:space="preserve">Travel</x:t>
        </x:is>
      </x:c>
      <x:c r="D70" s="3" t="inlineStr">
        <x:is>
          <x:t xml:space="preserve">Credit Card</x:t>
        </x:is>
      </x:c>
      <x:c r="E70" s="4" t="n">
        <x:v>-925.27</x:v>
      </x:c>
      <x:c r="F70" s="5">
        <x:f>IF(E70&gt;=0,"Income","Expense")</x:f>
      </x:c>
      <x:c r="G70" s="6">
        <x:f>ABS(E70)</x:f>
      </x:c>
      <x:c r="H70" s="4">
        <x:f>ROUND(E70,2)</x:f>
      </x:c>
      <x:c r="I70" s="5">
        <x:f>MONTH(A70)</x:f>
      </x:c>
      <x:c r="J70" s="5">
        <x:f>YEAR(A70)</x:f>
      </x:c>
      <x:c r="K70" s="5">
        <x:f>WEEKNUM(A70,2)</x:f>
      </x:c>
      <x:c r="L70" s="5">
        <x:f>ISOWEEKNUM(A70)</x:f>
      </x:c>
      <x:c r="M70" s="5">
        <x:f>TRIM(CLEAN(B70))</x:f>
      </x:c>
      <x:c r="N70" s="5">
        <x:f>UPPER(M70)</x:f>
      </x:c>
      <x:c r="O70" s="5">
        <x:f>LOWER(M70)</x:f>
      </x:c>
      <x:c r="P70" s="3">
        <x:f>PROPER(M70)</x:f>
      </x:c>
      <x:c r="Q70" s="3">
        <x:f>LEN(M70)</x:f>
      </x:c>
      <x:c r="R70" s="3">
        <x:f>ISBLANK(B70)</x:f>
      </x:c>
      <x:c r="S70" s="3">
        <x:f>SIGN(E70)</x:f>
      </x:c>
      <x:c r="T70" s="3">
        <x:f>ISEVEN(ROW())</x:f>
      </x:c>
      <x:c r="U70" s="3">
        <x:f>ISODD(ROW())</x:f>
      </x:c>
    </x:row>
    <x:row r="71">
      <x:c r="A71" s="2" t="n">
        <x:v>45873</x:v>
      </x:c>
      <x:c r="B71" s="3" t="inlineStr">
        <x:is>
          <x:t xml:space="preserve">Tax refund</x:t>
        </x:is>
      </x:c>
      <x:c r="C71" s="3" t="inlineStr">
        <x:is>
          <x:t xml:space="preserve">Salary</x:t>
        </x:is>
      </x:c>
      <x:c r="D71" s="3" t="inlineStr">
        <x:is>
          <x:t xml:space="preserve">Checking</x:t>
        </x:is>
      </x:c>
      <x:c r="E71" s="4" t="n">
        <x:v>616.3</x:v>
      </x:c>
      <x:c r="F71" s="5">
        <x:f>IF(E71&gt;=0,"Income","Expense")</x:f>
      </x:c>
      <x:c r="G71" s="6">
        <x:f>ABS(E71)</x:f>
      </x:c>
      <x:c r="H71" s="4">
        <x:f>ROUND(E71,2)</x:f>
      </x:c>
      <x:c r="I71" s="5">
        <x:f>MONTH(A71)</x:f>
      </x:c>
      <x:c r="J71" s="5">
        <x:f>YEAR(A71)</x:f>
      </x:c>
      <x:c r="K71" s="5">
        <x:f>WEEKNUM(A71,2)</x:f>
      </x:c>
      <x:c r="L71" s="5">
        <x:f>ISOWEEKNUM(A71)</x:f>
      </x:c>
      <x:c r="M71" s="5">
        <x:f>TRIM(CLEAN(B71))</x:f>
      </x:c>
      <x:c r="N71" s="5">
        <x:f>UPPER(M71)</x:f>
      </x:c>
      <x:c r="O71" s="5">
        <x:f>LOWER(M71)</x:f>
      </x:c>
      <x:c r="P71" s="3">
        <x:f>PROPER(M71)</x:f>
      </x:c>
      <x:c r="Q71" s="3">
        <x:f>LEN(M71)</x:f>
      </x:c>
      <x:c r="R71" s="3">
        <x:f>ISBLANK(B71)</x:f>
      </x:c>
      <x:c r="S71" s="3">
        <x:f>SIGN(E71)</x:f>
      </x:c>
      <x:c r="T71" s="3">
        <x:f>ISEVEN(ROW())</x:f>
      </x:c>
      <x:c r="U71" s="3">
        <x:f>ISODD(ROW())</x:f>
      </x:c>
    </x:row>
    <x:row r="72">
      <x:c r="A72" s="2" t="n">
        <x:v>45990</x:v>
      </x:c>
      <x:c r="B72" s="3" t="inlineStr">
        <x:is>
          <x:t xml:space="preserve">Monthly salary</x:t>
        </x:is>
      </x:c>
      <x:c r="C72" s="3" t="inlineStr">
        <x:is>
          <x:t xml:space="preserve">Salary</x:t>
        </x:is>
      </x:c>
      <x:c r="D72" s="3" t="inlineStr">
        <x:is>
          <x:t xml:space="preserve">Checking</x:t>
        </x:is>
      </x:c>
      <x:c r="E72" s="4" t="n">
        <x:v>6197.67</x:v>
      </x:c>
      <x:c r="F72" s="5">
        <x:f>IF(E72&gt;=0,"Income","Expense")</x:f>
      </x:c>
      <x:c r="G72" s="6">
        <x:f>ABS(E72)</x:f>
      </x:c>
      <x:c r="H72" s="4">
        <x:f>ROUND(E72,2)</x:f>
      </x:c>
      <x:c r="I72" s="5">
        <x:f>MONTH(A72)</x:f>
      </x:c>
      <x:c r="J72" s="5">
        <x:f>YEAR(A72)</x:f>
      </x:c>
      <x:c r="K72" s="5">
        <x:f>WEEKNUM(A72,2)</x:f>
      </x:c>
      <x:c r="L72" s="5">
        <x:f>ISOWEEKNUM(A72)</x:f>
      </x:c>
      <x:c r="M72" s="5">
        <x:f>TRIM(CLEAN(B72))</x:f>
      </x:c>
      <x:c r="N72" s="5">
        <x:f>UPPER(M72)</x:f>
      </x:c>
      <x:c r="O72" s="5">
        <x:f>LOWER(M72)</x:f>
      </x:c>
      <x:c r="P72" s="3">
        <x:f>PROPER(M72)</x:f>
      </x:c>
      <x:c r="Q72" s="3">
        <x:f>LEN(M72)</x:f>
      </x:c>
      <x:c r="R72" s="3">
        <x:f>ISBLANK(B72)</x:f>
      </x:c>
      <x:c r="S72" s="3">
        <x:f>SIGN(E72)</x:f>
      </x:c>
      <x:c r="T72" s="3">
        <x:f>ISEVEN(ROW())</x:f>
      </x:c>
      <x:c r="U72" s="3">
        <x:f>ISODD(ROW())</x:f>
      </x:c>
    </x:row>
    <x:row r="73">
      <x:c r="A73" s="2" t="n">
        <x:v>45780</x:v>
      </x:c>
      <x:c r="B73" s="3" t="inlineStr">
        <x:is>
          <x:t xml:space="preserve">Client invoice</x:t>
        </x:is>
      </x:c>
      <x:c r="C73" s="3" t="inlineStr">
        <x:is>
          <x:t xml:space="preserve">Salary</x:t>
        </x:is>
      </x:c>
      <x:c r="D73" s="3" t="inlineStr">
        <x:is>
          <x:t xml:space="preserve">Savings</x:t>
        </x:is>
      </x:c>
      <x:c r="E73" s="4" t="n">
        <x:v>3290.2</x:v>
      </x:c>
      <x:c r="F73" s="5">
        <x:f>IF(E73&gt;=0,"Income","Expense")</x:f>
      </x:c>
      <x:c r="G73" s="6">
        <x:f>ABS(E73)</x:f>
      </x:c>
      <x:c r="H73" s="4">
        <x:f>ROUND(E73,2)</x:f>
      </x:c>
      <x:c r="I73" s="5">
        <x:f>MONTH(A73)</x:f>
      </x:c>
      <x:c r="J73" s="5">
        <x:f>YEAR(A73)</x:f>
      </x:c>
      <x:c r="K73" s="5">
        <x:f>WEEKNUM(A73,2)</x:f>
      </x:c>
      <x:c r="L73" s="5">
        <x:f>ISOWEEKNUM(A73)</x:f>
      </x:c>
      <x:c r="M73" s="5">
        <x:f>TRIM(CLEAN(B73))</x:f>
      </x:c>
      <x:c r="N73" s="5">
        <x:f>UPPER(M73)</x:f>
      </x:c>
      <x:c r="O73" s="5">
        <x:f>LOWER(M73)</x:f>
      </x:c>
      <x:c r="P73" s="3">
        <x:f>PROPER(M73)</x:f>
      </x:c>
      <x:c r="Q73" s="3">
        <x:f>LEN(M73)</x:f>
      </x:c>
      <x:c r="R73" s="3">
        <x:f>ISBLANK(B73)</x:f>
      </x:c>
      <x:c r="S73" s="3">
        <x:f>SIGN(E73)</x:f>
      </x:c>
      <x:c r="T73" s="3">
        <x:f>ISEVEN(ROW())</x:f>
      </x:c>
      <x:c r="U73" s="3">
        <x:f>ISODD(ROW())</x:f>
      </x:c>
    </x:row>
    <x:row r="74">
      <x:c r="A74" s="2" t="n">
        <x:v>45968</x:v>
      </x:c>
      <x:c r="B74" s="3" t="inlineStr">
        <x:is>
          <x:t xml:space="preserve">Electric bill</x:t>
        </x:is>
      </x:c>
      <x:c r="C74" s="3" t="inlineStr">
        <x:is>
          <x:t xml:space="preserve">Groceries</x:t>
        </x:is>
      </x:c>
      <x:c r="D74" s="3" t="inlineStr">
        <x:is>
          <x:t xml:space="preserve">Checking</x:t>
        </x:is>
      </x:c>
      <x:c r="E74" s="4" t="n">
        <x:v>-2701.75</x:v>
      </x:c>
      <x:c r="F74" s="5">
        <x:f>IF(E74&gt;=0,"Income","Expense")</x:f>
      </x:c>
      <x:c r="G74" s="6">
        <x:f>ABS(E74)</x:f>
      </x:c>
      <x:c r="H74" s="4">
        <x:f>ROUND(E74,2)</x:f>
      </x:c>
      <x:c r="I74" s="5">
        <x:f>MONTH(A74)</x:f>
      </x:c>
      <x:c r="J74" s="5">
        <x:f>YEAR(A74)</x:f>
      </x:c>
      <x:c r="K74" s="5">
        <x:f>WEEKNUM(A74,2)</x:f>
      </x:c>
      <x:c r="L74" s="5">
        <x:f>ISOWEEKNUM(A74)</x:f>
      </x:c>
      <x:c r="M74" s="5">
        <x:f>TRIM(CLEAN(B74))</x:f>
      </x:c>
      <x:c r="N74" s="5">
        <x:f>UPPER(M74)</x:f>
      </x:c>
      <x:c r="O74" s="5">
        <x:f>LOWER(M74)</x:f>
      </x:c>
      <x:c r="P74" s="3">
        <x:f>PROPER(M74)</x:f>
      </x:c>
      <x:c r="Q74" s="3">
        <x:f>LEN(M74)</x:f>
      </x:c>
      <x:c r="R74" s="3">
        <x:f>ISBLANK(B74)</x:f>
      </x:c>
      <x:c r="S74" s="3">
        <x:f>SIGN(E74)</x:f>
      </x:c>
      <x:c r="T74" s="3">
        <x:f>ISEVEN(ROW())</x:f>
      </x:c>
      <x:c r="U74" s="3">
        <x:f>ISODD(ROW())</x:f>
      </x:c>
    </x:row>
    <x:row r="75">
      <x:c r="A75" s="2" t="n">
        <x:v>45952</x:v>
      </x:c>
      <x:c r="B75" s="3" t="inlineStr">
        <x:is>
          <x:t xml:space="preserve">Policy premium  </x:t>
        </x:is>
      </x:c>
      <x:c r="C75" s="3" t="inlineStr">
        <x:is>
          <x:t xml:space="preserve">Insurance</x:t>
        </x:is>
      </x:c>
      <x:c r="D75" s="3" t="inlineStr">
        <x:is>
          <x:t xml:space="preserve">Checking</x:t>
        </x:is>
      </x:c>
      <x:c r="E75" s="4" t="n">
        <x:v>-2637</x:v>
      </x:c>
      <x:c r="F75" s="5">
        <x:f>IF(E75&gt;=0,"Income","Expense")</x:f>
      </x:c>
      <x:c r="G75" s="6">
        <x:f>ABS(E75)</x:f>
      </x:c>
      <x:c r="H75" s="4">
        <x:f>ROUND(E75,2)</x:f>
      </x:c>
      <x:c r="I75" s="5">
        <x:f>MONTH(A75)</x:f>
      </x:c>
      <x:c r="J75" s="5">
        <x:f>YEAR(A75)</x:f>
      </x:c>
      <x:c r="K75" s="5">
        <x:f>WEEKNUM(A75,2)</x:f>
      </x:c>
      <x:c r="L75" s="5">
        <x:f>ISOWEEKNUM(A75)</x:f>
      </x:c>
      <x:c r="M75" s="5">
        <x:f>TRIM(CLEAN(B75))</x:f>
      </x:c>
      <x:c r="N75" s="5">
        <x:f>UPPER(M75)</x:f>
      </x:c>
      <x:c r="O75" s="5">
        <x:f>LOWER(M75)</x:f>
      </x:c>
      <x:c r="P75" s="3">
        <x:f>PROPER(M75)</x:f>
      </x:c>
      <x:c r="Q75" s="3">
        <x:f>LEN(M75)</x:f>
      </x:c>
      <x:c r="R75" s="3">
        <x:f>ISBLANK(B75)</x:f>
      </x:c>
      <x:c r="S75" s="3">
        <x:f>SIGN(E75)</x:f>
      </x:c>
      <x:c r="T75" s="3">
        <x:f>ISEVEN(ROW())</x:f>
      </x:c>
      <x:c r="U75" s="3">
        <x:f>ISODD(ROW())</x:f>
      </x:c>
    </x:row>
    <x:row r="76">
      <x:c r="A76" s="2" t="n">
        <x:v>45979</x:v>
      </x:c>
      <x:c r="B76" s="3" t="inlineStr">
        <x:is>
          <x:t xml:space="preserve">Monthly salary</x:t>
        </x:is>
      </x:c>
      <x:c r="C76" s="3" t="inlineStr">
        <x:is>
          <x:t xml:space="preserve">Interest</x:t>
        </x:is>
      </x:c>
      <x:c r="D76" s="3" t="inlineStr">
        <x:is>
          <x:t xml:space="preserve">Checking</x:t>
        </x:is>
      </x:c>
      <x:c r="E76" s="4" t="n">
        <x:v>5277.36</x:v>
      </x:c>
      <x:c r="F76" s="5">
        <x:f>IF(E76&gt;=0,"Income","Expense")</x:f>
      </x:c>
      <x:c r="G76" s="6">
        <x:f>ABS(E76)</x:f>
      </x:c>
      <x:c r="H76" s="4">
        <x:f>ROUND(E76,2)</x:f>
      </x:c>
      <x:c r="I76" s="5">
        <x:f>MONTH(A76)</x:f>
      </x:c>
      <x:c r="J76" s="5">
        <x:f>YEAR(A76)</x:f>
      </x:c>
      <x:c r="K76" s="5">
        <x:f>WEEKNUM(A76,2)</x:f>
      </x:c>
      <x:c r="L76" s="5">
        <x:f>ISOWEEKNUM(A76)</x:f>
      </x:c>
      <x:c r="M76" s="5">
        <x:f>TRIM(CLEAN(B76))</x:f>
      </x:c>
      <x:c r="N76" s="5">
        <x:f>UPPER(M76)</x:f>
      </x:c>
      <x:c r="O76" s="5">
        <x:f>LOWER(M76)</x:f>
      </x:c>
      <x:c r="P76" s="3">
        <x:f>PROPER(M76)</x:f>
      </x:c>
      <x:c r="Q76" s="3">
        <x:f>LEN(M76)</x:f>
      </x:c>
      <x:c r="R76" s="3">
        <x:f>ISBLANK(B76)</x:f>
      </x:c>
      <x:c r="S76" s="3">
        <x:f>SIGN(E76)</x:f>
      </x:c>
      <x:c r="T76" s="3">
        <x:f>ISEVEN(ROW())</x:f>
      </x:c>
      <x:c r="U76" s="3">
        <x:f>ISODD(ROW())</x:f>
      </x:c>
    </x:row>
    <x:row r="77">
      <x:c r="A77" s="2" t="n">
        <x:v>45847</x:v>
      </x:c>
      <x:c r="B77" s="3" t="inlineStr">
        <x:is>
          <x:t xml:space="preserve">Monthly salary  </x:t>
        </x:is>
      </x:c>
      <x:c r="C77" s="3" t="inlineStr">
        <x:is>
          <x:t xml:space="preserve">Interest</x:t>
        </x:is>
      </x:c>
      <x:c r="D77" s="3" t="inlineStr">
        <x:is>
          <x:t xml:space="preserve">Savings</x:t>
        </x:is>
      </x:c>
      <x:c r="E77" s="4" t="n">
        <x:v>5597.45</x:v>
      </x:c>
      <x:c r="F77" s="5">
        <x:f>IF(E77&gt;=0,"Income","Expense")</x:f>
      </x:c>
      <x:c r="G77" s="6">
        <x:f>ABS(E77)</x:f>
      </x:c>
      <x:c r="H77" s="4">
        <x:f>ROUND(E77,2)</x:f>
      </x:c>
      <x:c r="I77" s="5">
        <x:f>MONTH(A77)</x:f>
      </x:c>
      <x:c r="J77" s="5">
        <x:f>YEAR(A77)</x:f>
      </x:c>
      <x:c r="K77" s="5">
        <x:f>WEEKNUM(A77,2)</x:f>
      </x:c>
      <x:c r="L77" s="5">
        <x:f>ISOWEEKNUM(A77)</x:f>
      </x:c>
      <x:c r="M77" s="5">
        <x:f>TRIM(CLEAN(B77))</x:f>
      </x:c>
      <x:c r="N77" s="5">
        <x:f>UPPER(M77)</x:f>
      </x:c>
      <x:c r="O77" s="5">
        <x:f>LOWER(M77)</x:f>
      </x:c>
      <x:c r="P77" s="3">
        <x:f>PROPER(M77)</x:f>
      </x:c>
      <x:c r="Q77" s="3">
        <x:f>LEN(M77)</x:f>
      </x:c>
      <x:c r="R77" s="3">
        <x:f>ISBLANK(B77)</x:f>
      </x:c>
      <x:c r="S77" s="3">
        <x:f>SIGN(E77)</x:f>
      </x:c>
      <x:c r="T77" s="3">
        <x:f>ISEVEN(ROW())</x:f>
      </x:c>
      <x:c r="U77" s="3">
        <x:f>ISODD(ROW())</x:f>
      </x:c>
    </x:row>
    <x:row r="78">
      <x:c r="A78" s="2" t="n">
        <x:v>45983</x:v>
      </x:c>
      <x:c r="B78" s="3" t="inlineStr">
        <x:is>
          <x:t xml:space="preserve">Electric bill</x:t>
        </x:is>
      </x:c>
      <x:c r="C78" s="3" t="inlineStr">
        <x:is>
          <x:t xml:space="preserve">Tax</x:t>
        </x:is>
      </x:c>
      <x:c r="D78" s="3" t="inlineStr">
        <x:is>
          <x:t xml:space="preserve">Savings</x:t>
        </x:is>
      </x:c>
      <x:c r="E78" s="4" t="n">
        <x:v>-1227.83</x:v>
      </x:c>
      <x:c r="F78" s="5">
        <x:f>IF(E78&gt;=0,"Income","Expense")</x:f>
      </x:c>
      <x:c r="G78" s="6">
        <x:f>ABS(E78)</x:f>
      </x:c>
      <x:c r="H78" s="4">
        <x:f>ROUND(E78,2)</x:f>
      </x:c>
      <x:c r="I78" s="5">
        <x:f>MONTH(A78)</x:f>
      </x:c>
      <x:c r="J78" s="5">
        <x:f>YEAR(A78)</x:f>
      </x:c>
      <x:c r="K78" s="5">
        <x:f>WEEKNUM(A78,2)</x:f>
      </x:c>
      <x:c r="L78" s="5">
        <x:f>ISOWEEKNUM(A78)</x:f>
      </x:c>
      <x:c r="M78" s="5">
        <x:f>TRIM(CLEAN(B78))</x:f>
      </x:c>
      <x:c r="N78" s="5">
        <x:f>UPPER(M78)</x:f>
      </x:c>
      <x:c r="O78" s="5">
        <x:f>LOWER(M78)</x:f>
      </x:c>
      <x:c r="P78" s="3">
        <x:f>PROPER(M78)</x:f>
      </x:c>
      <x:c r="Q78" s="3">
        <x:f>LEN(M78)</x:f>
      </x:c>
      <x:c r="R78" s="3">
        <x:f>ISBLANK(B78)</x:f>
      </x:c>
      <x:c r="S78" s="3">
        <x:f>SIGN(E78)</x:f>
      </x:c>
      <x:c r="T78" s="3">
        <x:f>ISEVEN(ROW())</x:f>
      </x:c>
      <x:c r="U78" s="3">
        <x:f>ISODD(ROW())</x:f>
      </x:c>
    </x:row>
    <x:row r="79">
      <x:c r="A79" s="2" t="n">
        <x:v>45973</x:v>
      </x:c>
      <x:c r="B79" s="3" t="inlineStr">
        <x:is>
          <x:t xml:space="preserve">Estimated tax</x:t>
        </x:is>
      </x:c>
      <x:c r="C79" s="3" t="inlineStr">
        <x:is>
          <x:t xml:space="preserve">Tax</x:t>
        </x:is>
      </x:c>
      <x:c r="D79" s="3" t="inlineStr">
        <x:is>
          <x:t xml:space="preserve">Savings</x:t>
        </x:is>
      </x:c>
      <x:c r="E79" s="4" t="n">
        <x:v>-1228.07</x:v>
      </x:c>
      <x:c r="F79" s="5">
        <x:f>IF(E79&gt;=0,"Income","Expense")</x:f>
      </x:c>
      <x:c r="G79" s="6">
        <x:f>ABS(E79)</x:f>
      </x:c>
      <x:c r="H79" s="4">
        <x:f>ROUND(E79,2)</x:f>
      </x:c>
      <x:c r="I79" s="5">
        <x:f>MONTH(A79)</x:f>
      </x:c>
      <x:c r="J79" s="5">
        <x:f>YEAR(A79)</x:f>
      </x:c>
      <x:c r="K79" s="5">
        <x:f>WEEKNUM(A79,2)</x:f>
      </x:c>
      <x:c r="L79" s="5">
        <x:f>ISOWEEKNUM(A79)</x:f>
      </x:c>
      <x:c r="M79" s="5">
        <x:f>TRIM(CLEAN(B79))</x:f>
      </x:c>
      <x:c r="N79" s="5">
        <x:f>UPPER(M79)</x:f>
      </x:c>
      <x:c r="O79" s="5">
        <x:f>LOWER(M79)</x:f>
      </x:c>
      <x:c r="P79" s="3">
        <x:f>PROPER(M79)</x:f>
      </x:c>
      <x:c r="Q79" s="3">
        <x:f>LEN(M79)</x:f>
      </x:c>
      <x:c r="R79" s="3">
        <x:f>ISBLANK(B79)</x:f>
      </x:c>
      <x:c r="S79" s="3">
        <x:f>SIGN(E79)</x:f>
      </x:c>
      <x:c r="T79" s="3">
        <x:f>ISEVEN(ROW())</x:f>
      </x:c>
      <x:c r="U79" s="3">
        <x:f>ISODD(ROW())</x:f>
      </x:c>
    </x:row>
    <x:row r="80">
      <x:c r="A80" s="2" t="n">
        <x:v>45783</x:v>
      </x:c>
      <x:c r="B80" s="3" t="inlineStr">
        <x:is>
          <x:t xml:space="preserve">SaaS subscription</x:t>
        </x:is>
      </x:c>
      <x:c r="C80" s="3" t="inlineStr">
        <x:is>
          <x:t xml:space="preserve">Groceries</x:t>
        </x:is>
      </x:c>
      <x:c r="D80" s="3" t="inlineStr">
        <x:is>
          <x:t xml:space="preserve">Checking</x:t>
        </x:is>
      </x:c>
      <x:c r="E80" s="4" t="n">
        <x:v>-2470.34</x:v>
      </x:c>
      <x:c r="F80" s="5">
        <x:f>IF(E80&gt;=0,"Income","Expense")</x:f>
      </x:c>
      <x:c r="G80" s="6">
        <x:f>ABS(E80)</x:f>
      </x:c>
      <x:c r="H80" s="4">
        <x:f>ROUND(E80,2)</x:f>
      </x:c>
      <x:c r="I80" s="5">
        <x:f>MONTH(A80)</x:f>
      </x:c>
      <x:c r="J80" s="5">
        <x:f>YEAR(A80)</x:f>
      </x:c>
      <x:c r="K80" s="5">
        <x:f>WEEKNUM(A80,2)</x:f>
      </x:c>
      <x:c r="L80" s="5">
        <x:f>ISOWEEKNUM(A80)</x:f>
      </x:c>
      <x:c r="M80" s="5">
        <x:f>TRIM(CLEAN(B80))</x:f>
      </x:c>
      <x:c r="N80" s="5">
        <x:f>UPPER(M80)</x:f>
      </x:c>
      <x:c r="O80" s="5">
        <x:f>LOWER(M80)</x:f>
      </x:c>
      <x:c r="P80" s="3">
        <x:f>PROPER(M80)</x:f>
      </x:c>
      <x:c r="Q80" s="3">
        <x:f>LEN(M80)</x:f>
      </x:c>
      <x:c r="R80" s="3">
        <x:f>ISBLANK(B80)</x:f>
      </x:c>
      <x:c r="S80" s="3">
        <x:f>SIGN(E80)</x:f>
      </x:c>
      <x:c r="T80" s="3">
        <x:f>ISEVEN(ROW())</x:f>
      </x:c>
      <x:c r="U80" s="3">
        <x:f>ISODD(ROW())</x:f>
      </x:c>
    </x:row>
    <x:row r="81">
      <x:c r="A81" s="2" t="n">
        <x:v>46000</x:v>
      </x:c>
      <x:c r="B81" s="3" t="inlineStr">
        <x:is>
          <x:t xml:space="preserve">Estimated tax</x:t>
        </x:is>
      </x:c>
      <x:c r="C81" s="3" t="inlineStr">
        <x:is>
          <x:t xml:space="preserve">Rent</x:t>
        </x:is>
      </x:c>
      <x:c r="D81" s="3" t="inlineStr">
        <x:is>
          <x:t xml:space="preserve">Checking</x:t>
        </x:is>
      </x:c>
      <x:c r="E81" s="4" t="n">
        <x:v>-2384.9</x:v>
      </x:c>
      <x:c r="F81" s="5">
        <x:f>IF(E81&gt;=0,"Income","Expense")</x:f>
      </x:c>
      <x:c r="G81" s="6">
        <x:f>ABS(E81)</x:f>
      </x:c>
      <x:c r="H81" s="4">
        <x:f>ROUND(E81,2)</x:f>
      </x:c>
      <x:c r="I81" s="5">
        <x:f>MONTH(A81)</x:f>
      </x:c>
      <x:c r="J81" s="5">
        <x:f>YEAR(A81)</x:f>
      </x:c>
      <x:c r="K81" s="5">
        <x:f>WEEKNUM(A81,2)</x:f>
      </x:c>
      <x:c r="L81" s="5">
        <x:f>ISOWEEKNUM(A81)</x:f>
      </x:c>
      <x:c r="M81" s="5">
        <x:f>TRIM(CLEAN(B81))</x:f>
      </x:c>
      <x:c r="N81" s="5">
        <x:f>UPPER(M81)</x:f>
      </x:c>
      <x:c r="O81" s="5">
        <x:f>LOWER(M81)</x:f>
      </x:c>
      <x:c r="P81" s="3">
        <x:f>PROPER(M81)</x:f>
      </x:c>
      <x:c r="Q81" s="3">
        <x:f>LEN(M81)</x:f>
      </x:c>
      <x:c r="R81" s="3">
        <x:f>ISBLANK(B81)</x:f>
      </x:c>
      <x:c r="S81" s="3">
        <x:f>SIGN(E81)</x:f>
      </x:c>
      <x:c r="T81" s="3">
        <x:f>ISEVEN(ROW())</x:f>
      </x:c>
      <x:c r="U81" s="3">
        <x:f>ISODD(ROW())</x:f>
      </x:c>
    </x:row>
    <x:row r="82">
      <x:c r="A82" s="2" t="n">
        <x:v>45790</x:v>
      </x:c>
      <x:c r="B82" s="3" t="inlineStr">
        <x:is>
          <x:t xml:space="preserve">Apartment rent  </x:t>
        </x:is>
      </x:c>
      <x:c r="C82" s="3" t="inlineStr">
        <x:is>
          <x:t xml:space="preserve">Software</x:t>
        </x:is>
      </x:c>
      <x:c r="D82" s="3" t="inlineStr">
        <x:is>
          <x:t xml:space="preserve">Checking</x:t>
        </x:is>
      </x:c>
      <x:c r="E82" s="4" t="n">
        <x:v>-1453.81</x:v>
      </x:c>
      <x:c r="F82" s="5">
        <x:f>IF(E82&gt;=0,"Income","Expense")</x:f>
      </x:c>
      <x:c r="G82" s="6">
        <x:f>ABS(E82)</x:f>
      </x:c>
      <x:c r="H82" s="4">
        <x:f>ROUND(E82,2)</x:f>
      </x:c>
      <x:c r="I82" s="5">
        <x:f>MONTH(A82)</x:f>
      </x:c>
      <x:c r="J82" s="5">
        <x:f>YEAR(A82)</x:f>
      </x:c>
      <x:c r="K82" s="5">
        <x:f>WEEKNUM(A82,2)</x:f>
      </x:c>
      <x:c r="L82" s="5">
        <x:f>ISOWEEKNUM(A82)</x:f>
      </x:c>
      <x:c r="M82" s="5">
        <x:f>TRIM(CLEAN(B82))</x:f>
      </x:c>
      <x:c r="N82" s="5">
        <x:f>UPPER(M82)</x:f>
      </x:c>
      <x:c r="O82" s="5">
        <x:f>LOWER(M82)</x:f>
      </x:c>
      <x:c r="P82" s="3">
        <x:f>PROPER(M82)</x:f>
      </x:c>
      <x:c r="Q82" s="3">
        <x:f>LEN(M82)</x:f>
      </x:c>
      <x:c r="R82" s="3">
        <x:f>ISBLANK(B82)</x:f>
      </x:c>
      <x:c r="S82" s="3">
        <x:f>SIGN(E82)</x:f>
      </x:c>
      <x:c r="T82" s="3">
        <x:f>ISEVEN(ROW())</x:f>
      </x:c>
      <x:c r="U82" s="3">
        <x:f>ISODD(ROW())</x:f>
      </x:c>
    </x:row>
    <x:row r="83">
      <x:c r="A83" s="2" t="n">
        <x:v>45908</x:v>
      </x:c>
      <x:c r="B83" s="3" t="inlineStr">
        <x:is>
          <x:t xml:space="preserve">Estimated tax
</x:t>
        </x:is>
      </x:c>
      <x:c r="C83" s="3" t="inlineStr">
        <x:is>
          <x:t xml:space="preserve">Travel</x:t>
        </x:is>
      </x:c>
      <x:c r="D83" s="3" t="inlineStr">
        <x:is>
          <x:t xml:space="preserve">Credit Card</x:t>
        </x:is>
      </x:c>
      <x:c r="E83" s="4" t="n">
        <x:v>-1813.84</x:v>
      </x:c>
      <x:c r="F83" s="5">
        <x:f>IF(E83&gt;=0,"Income","Expense")</x:f>
      </x:c>
      <x:c r="G83" s="6">
        <x:f>ABS(E83)</x:f>
      </x:c>
      <x:c r="H83" s="4">
        <x:f>ROUND(E83,2)</x:f>
      </x:c>
      <x:c r="I83" s="5">
        <x:f>MONTH(A83)</x:f>
      </x:c>
      <x:c r="J83" s="5">
        <x:f>YEAR(A83)</x:f>
      </x:c>
      <x:c r="K83" s="5">
        <x:f>WEEKNUM(A83,2)</x:f>
      </x:c>
      <x:c r="L83" s="5">
        <x:f>ISOWEEKNUM(A83)</x:f>
      </x:c>
      <x:c r="M83" s="5">
        <x:f>TRIM(CLEAN(B83))</x:f>
      </x:c>
      <x:c r="N83" s="5">
        <x:f>UPPER(M83)</x:f>
      </x:c>
      <x:c r="O83" s="5">
        <x:f>LOWER(M83)</x:f>
      </x:c>
      <x:c r="P83" s="3">
        <x:f>PROPER(M83)</x:f>
      </x:c>
      <x:c r="Q83" s="3">
        <x:f>LEN(M83)</x:f>
      </x:c>
      <x:c r="R83" s="3">
        <x:f>ISBLANK(B83)</x:f>
      </x:c>
      <x:c r="S83" s="3">
        <x:f>SIGN(E83)</x:f>
      </x:c>
      <x:c r="T83" s="3">
        <x:f>ISEVEN(ROW())</x:f>
      </x:c>
      <x:c r="U83" s="3">
        <x:f>ISODD(ROW())</x:f>
      </x:c>
    </x:row>
    <x:row r="84">
      <x:c r="A84" s="2" t="n">
        <x:v>45808</x:v>
      </x:c>
      <x:c r="B84" s="3" t="inlineStr">
        <x:is>
          <x:t xml:space="preserve">Bank interest</x:t>
        </x:is>
      </x:c>
      <x:c r="C84" s="3" t="inlineStr">
        <x:is>
          <x:t xml:space="preserve">Consulting</x:t>
        </x:is>
      </x:c>
      <x:c r="D84" s="3" t="inlineStr">
        <x:is>
          <x:t xml:space="preserve">Savings</x:t>
        </x:is>
      </x:c>
      <x:c r="E84" s="4" t="n">
        <x:v>4483.76</x:v>
      </x:c>
      <x:c r="F84" s="5">
        <x:f>IF(E84&gt;=0,"Income","Expense")</x:f>
      </x:c>
      <x:c r="G84" s="6">
        <x:f>ABS(E84)</x:f>
      </x:c>
      <x:c r="H84" s="4">
        <x:f>ROUND(E84,2)</x:f>
      </x:c>
      <x:c r="I84" s="5">
        <x:f>MONTH(A84)</x:f>
      </x:c>
      <x:c r="J84" s="5">
        <x:f>YEAR(A84)</x:f>
      </x:c>
      <x:c r="K84" s="5">
        <x:f>WEEKNUM(A84,2)</x:f>
      </x:c>
      <x:c r="L84" s="5">
        <x:f>ISOWEEKNUM(A84)</x:f>
      </x:c>
      <x:c r="M84" s="5">
        <x:f>TRIM(CLEAN(B84))</x:f>
      </x:c>
      <x:c r="N84" s="5">
        <x:f>UPPER(M84)</x:f>
      </x:c>
      <x:c r="O84" s="5">
        <x:f>LOWER(M84)</x:f>
      </x:c>
      <x:c r="P84" s="3">
        <x:f>PROPER(M84)</x:f>
      </x:c>
      <x:c r="Q84" s="3">
        <x:f>LEN(M84)</x:f>
      </x:c>
      <x:c r="R84" s="3">
        <x:f>ISBLANK(B84)</x:f>
      </x:c>
      <x:c r="S84" s="3">
        <x:f>SIGN(E84)</x:f>
      </x:c>
      <x:c r="T84" s="3">
        <x:f>ISEVEN(ROW())</x:f>
      </x:c>
      <x:c r="U84" s="3">
        <x:f>ISODD(ROW())</x:f>
      </x:c>
    </x:row>
    <x:row r="85">
      <x:c r="A85" s="2" t="n">
        <x:v>45875</x:v>
      </x:c>
      <x:c r="B85" s="3" t="inlineStr">
        <x:is>
          <x:t xml:space="preserve">Ad spend</x:t>
        </x:is>
      </x:c>
      <x:c r="C85" s="3" t="inlineStr">
        <x:is>
          <x:t xml:space="preserve">Marketing</x:t>
        </x:is>
      </x:c>
      <x:c r="D85" s="3" t="inlineStr">
        <x:is>
          <x:t xml:space="preserve">Credit Card</x:t>
        </x:is>
      </x:c>
      <x:c r="E85" s="4" t="n">
        <x:v>-1972.45</x:v>
      </x:c>
      <x:c r="F85" s="5">
        <x:f>IF(E85&gt;=0,"Income","Expense")</x:f>
      </x:c>
      <x:c r="G85" s="6">
        <x:f>ABS(E85)</x:f>
      </x:c>
      <x:c r="H85" s="4">
        <x:f>ROUND(E85,2)</x:f>
      </x:c>
      <x:c r="I85" s="5">
        <x:f>MONTH(A85)</x:f>
      </x:c>
      <x:c r="J85" s="5">
        <x:f>YEAR(A85)</x:f>
      </x:c>
      <x:c r="K85" s="5">
        <x:f>WEEKNUM(A85,2)</x:f>
      </x:c>
      <x:c r="L85" s="5">
        <x:f>ISOWEEKNUM(A85)</x:f>
      </x:c>
      <x:c r="M85" s="5">
        <x:f>TRIM(CLEAN(B85))</x:f>
      </x:c>
      <x:c r="N85" s="5">
        <x:f>UPPER(M85)</x:f>
      </x:c>
      <x:c r="O85" s="5">
        <x:f>LOWER(M85)</x:f>
      </x:c>
      <x:c r="P85" s="3">
        <x:f>PROPER(M85)</x:f>
      </x:c>
      <x:c r="Q85" s="3">
        <x:f>LEN(M85)</x:f>
      </x:c>
      <x:c r="R85" s="3">
        <x:f>ISBLANK(B85)</x:f>
      </x:c>
      <x:c r="S85" s="3">
        <x:f>SIGN(E85)</x:f>
      </x:c>
      <x:c r="T85" s="3">
        <x:f>ISEVEN(ROW())</x:f>
      </x:c>
      <x:c r="U85" s="3">
        <x:f>ISODD(ROW())</x:f>
      </x:c>
    </x:row>
    <x:row r="86">
      <x:c r="A86" s="2" t="n">
        <x:v>45756</x:v>
      </x:c>
      <x:c r="B86" s="3" t="inlineStr">
        <x:is>
          <x:t xml:space="preserve">Business trip</x:t>
        </x:is>
      </x:c>
      <x:c r="C86" s="3" t="inlineStr">
        <x:is>
          <x:t xml:space="preserve">Utilities</x:t>
        </x:is>
      </x:c>
      <x:c r="D86" s="3" t="inlineStr">
        <x:is>
          <x:t xml:space="preserve">Credit Card</x:t>
        </x:is>
      </x:c>
      <x:c r="E86" s="4" t="n">
        <x:v>-617.63</x:v>
      </x:c>
      <x:c r="F86" s="5">
        <x:f>IF(E86&gt;=0,"Income","Expense")</x:f>
      </x:c>
      <x:c r="G86" s="6">
        <x:f>ABS(E86)</x:f>
      </x:c>
      <x:c r="H86" s="4">
        <x:f>ROUND(E86,2)</x:f>
      </x:c>
      <x:c r="I86" s="5">
        <x:f>MONTH(A86)</x:f>
      </x:c>
      <x:c r="J86" s="5">
        <x:f>YEAR(A86)</x:f>
      </x:c>
      <x:c r="K86" s="5">
        <x:f>WEEKNUM(A86,2)</x:f>
      </x:c>
      <x:c r="L86" s="5">
        <x:f>ISOWEEKNUM(A86)</x:f>
      </x:c>
      <x:c r="M86" s="5">
        <x:f>TRIM(CLEAN(B86))</x:f>
      </x:c>
      <x:c r="N86" s="5">
        <x:f>UPPER(M86)</x:f>
      </x:c>
      <x:c r="O86" s="5">
        <x:f>LOWER(M86)</x:f>
      </x:c>
      <x:c r="P86" s="3">
        <x:f>PROPER(M86)</x:f>
      </x:c>
      <x:c r="Q86" s="3">
        <x:f>LEN(M86)</x:f>
      </x:c>
      <x:c r="R86" s="3">
        <x:f>ISBLANK(B86)</x:f>
      </x:c>
      <x:c r="S86" s="3">
        <x:f>SIGN(E86)</x:f>
      </x:c>
      <x:c r="T86" s="3">
        <x:f>ISEVEN(ROW())</x:f>
      </x:c>
      <x:c r="U86" s="3">
        <x:f>ISODD(ROW())</x:f>
      </x:c>
    </x:row>
    <x:row r="87">
      <x:c r="A87" s="2" t="n">
        <x:v>45926</x:v>
      </x:c>
      <x:c r="B87" s="3" t="inlineStr">
        <x:is>
          <x:t xml:space="preserve">Business trip  
</x:t>
        </x:is>
      </x:c>
      <x:c r="C87" s="3" t="inlineStr">
        <x:is>
          <x:t xml:space="preserve">Groceries</x:t>
        </x:is>
      </x:c>
      <x:c r="D87" s="3" t="inlineStr">
        <x:is>
          <x:t xml:space="preserve">Credit Card</x:t>
        </x:is>
      </x:c>
      <x:c r="E87" s="4" t="n">
        <x:v>-840.05</x:v>
      </x:c>
      <x:c r="F87" s="5">
        <x:f>IF(E87&gt;=0,"Income","Expense")</x:f>
      </x:c>
      <x:c r="G87" s="6">
        <x:f>ABS(E87)</x:f>
      </x:c>
      <x:c r="H87" s="4">
        <x:f>ROUND(E87,2)</x:f>
      </x:c>
      <x:c r="I87" s="5">
        <x:f>MONTH(A87)</x:f>
      </x:c>
      <x:c r="J87" s="5">
        <x:f>YEAR(A87)</x:f>
      </x:c>
      <x:c r="K87" s="5">
        <x:f>WEEKNUM(A87,2)</x:f>
      </x:c>
      <x:c r="L87" s="5">
        <x:f>ISOWEEKNUM(A87)</x:f>
      </x:c>
      <x:c r="M87" s="5">
        <x:f>TRIM(CLEAN(B87))</x:f>
      </x:c>
      <x:c r="N87" s="5">
        <x:f>UPPER(M87)</x:f>
      </x:c>
      <x:c r="O87" s="5">
        <x:f>LOWER(M87)</x:f>
      </x:c>
      <x:c r="P87" s="3">
        <x:f>PROPER(M87)</x:f>
      </x:c>
      <x:c r="Q87" s="3">
        <x:f>LEN(M87)</x:f>
      </x:c>
      <x:c r="R87" s="3">
        <x:f>ISBLANK(B87)</x:f>
      </x:c>
      <x:c r="S87" s="3">
        <x:f>SIGN(E87)</x:f>
      </x:c>
      <x:c r="T87" s="3">
        <x:f>ISEVEN(ROW())</x:f>
      </x:c>
      <x:c r="U87" s="3">
        <x:f>ISODD(ROW())</x:f>
      </x:c>
    </x:row>
    <x:row r="88">
      <x:c r="A88" s="2" t="n">
        <x:v>45931</x:v>
      </x:c>
      <x:c r="B88" s="3" t="inlineStr">
        <x:is>
          <x:t xml:space="preserve">Monthly salary</x:t>
        </x:is>
      </x:c>
      <x:c r="C88" s="3" t="inlineStr">
        <x:is>
          <x:t xml:space="preserve">Salary</x:t>
        </x:is>
      </x:c>
      <x:c r="D88" s="3" t="inlineStr">
        <x:is>
          <x:t xml:space="preserve">Checking</x:t>
        </x:is>
      </x:c>
      <x:c r="E88" s="4" t="n">
        <x:v>3820.15</x:v>
      </x:c>
      <x:c r="F88" s="5">
        <x:f>IF(E88&gt;=0,"Income","Expense")</x:f>
      </x:c>
      <x:c r="G88" s="6">
        <x:f>ABS(E88)</x:f>
      </x:c>
      <x:c r="H88" s="4">
        <x:f>ROUND(E88,2)</x:f>
      </x:c>
      <x:c r="I88" s="5">
        <x:f>MONTH(A88)</x:f>
      </x:c>
      <x:c r="J88" s="5">
        <x:f>YEAR(A88)</x:f>
      </x:c>
      <x:c r="K88" s="5">
        <x:f>WEEKNUM(A88,2)</x:f>
      </x:c>
      <x:c r="L88" s="5">
        <x:f>ISOWEEKNUM(A88)</x:f>
      </x:c>
      <x:c r="M88" s="5">
        <x:f>TRIM(CLEAN(B88))</x:f>
      </x:c>
      <x:c r="N88" s="5">
        <x:f>UPPER(M88)</x:f>
      </x:c>
      <x:c r="O88" s="5">
        <x:f>LOWER(M88)</x:f>
      </x:c>
      <x:c r="P88" s="3">
        <x:f>PROPER(M88)</x:f>
      </x:c>
      <x:c r="Q88" s="3">
        <x:f>LEN(M88)</x:f>
      </x:c>
      <x:c r="R88" s="3">
        <x:f>ISBLANK(B88)</x:f>
      </x:c>
      <x:c r="S88" s="3">
        <x:f>SIGN(E88)</x:f>
      </x:c>
      <x:c r="T88" s="3">
        <x:f>ISEVEN(ROW())</x:f>
      </x:c>
      <x:c r="U88" s="3">
        <x:f>ISODD(ROW())</x:f>
      </x:c>
    </x:row>
    <x:row r="89">
      <x:c r="A89" s="2" t="n">
        <x:v>45710</x:v>
      </x:c>
      <x:c r="B89" s="3" t="inlineStr">
        <x:is>
          <x:t xml:space="preserve">Estimated tax  
</x:t>
        </x:is>
      </x:c>
      <x:c r="C89" s="3" t="inlineStr">
        <x:is>
          <x:t xml:space="preserve">Software</x:t>
        </x:is>
      </x:c>
      <x:c r="D89" s="3" t="inlineStr">
        <x:is>
          <x:t xml:space="preserve">Credit Card</x:t>
        </x:is>
      </x:c>
      <x:c r="E89" s="4" t="n">
        <x:v>-1348.22</x:v>
      </x:c>
      <x:c r="F89" s="5">
        <x:f>IF(E89&gt;=0,"Income","Expense")</x:f>
      </x:c>
      <x:c r="G89" s="6">
        <x:f>ABS(E89)</x:f>
      </x:c>
      <x:c r="H89" s="4">
        <x:f>ROUND(E89,2)</x:f>
      </x:c>
      <x:c r="I89" s="5">
        <x:f>MONTH(A89)</x:f>
      </x:c>
      <x:c r="J89" s="5">
        <x:f>YEAR(A89)</x:f>
      </x:c>
      <x:c r="K89" s="5">
        <x:f>WEEKNUM(A89,2)</x:f>
      </x:c>
      <x:c r="L89" s="5">
        <x:f>ISOWEEKNUM(A89)</x:f>
      </x:c>
      <x:c r="M89" s="5">
        <x:f>TRIM(CLEAN(B89))</x:f>
      </x:c>
      <x:c r="N89" s="5">
        <x:f>UPPER(M89)</x:f>
      </x:c>
      <x:c r="O89" s="5">
        <x:f>LOWER(M89)</x:f>
      </x:c>
      <x:c r="P89" s="3">
        <x:f>PROPER(M89)</x:f>
      </x:c>
      <x:c r="Q89" s="3">
        <x:f>LEN(M89)</x:f>
      </x:c>
      <x:c r="R89" s="3">
        <x:f>ISBLANK(B89)</x:f>
      </x:c>
      <x:c r="S89" s="3">
        <x:f>SIGN(E89)</x:f>
      </x:c>
      <x:c r="T89" s="3">
        <x:f>ISEVEN(ROW())</x:f>
      </x:c>
      <x:c r="U89" s="3">
        <x:f>ISODD(ROW())</x:f>
      </x:c>
    </x:row>
    <x:row r="90">
      <x:c r="A90" s="2" t="n">
        <x:v>45902</x:v>
      </x:c>
      <x:c r="B90" s="3" t="inlineStr">
        <x:is>
          <x:t xml:space="preserve">Tax refund  </x:t>
        </x:is>
      </x:c>
      <x:c r="C90" s="3" t="inlineStr">
        <x:is>
          <x:t xml:space="preserve">Salary</x:t>
        </x:is>
      </x:c>
      <x:c r="D90" s="3" t="inlineStr">
        <x:is>
          <x:t xml:space="preserve">Checking</x:t>
        </x:is>
      </x:c>
      <x:c r="E90" s="4" t="n">
        <x:v>3450.48</x:v>
      </x:c>
      <x:c r="F90" s="5">
        <x:f>IF(E90&gt;=0,"Income","Expense")</x:f>
      </x:c>
      <x:c r="G90" s="6">
        <x:f>ABS(E90)</x:f>
      </x:c>
      <x:c r="H90" s="4">
        <x:f>ROUND(E90,2)</x:f>
      </x:c>
      <x:c r="I90" s="5">
        <x:f>MONTH(A90)</x:f>
      </x:c>
      <x:c r="J90" s="5">
        <x:f>YEAR(A90)</x:f>
      </x:c>
      <x:c r="K90" s="5">
        <x:f>WEEKNUM(A90,2)</x:f>
      </x:c>
      <x:c r="L90" s="5">
        <x:f>ISOWEEKNUM(A90)</x:f>
      </x:c>
      <x:c r="M90" s="5">
        <x:f>TRIM(CLEAN(B90))</x:f>
      </x:c>
      <x:c r="N90" s="5">
        <x:f>UPPER(M90)</x:f>
      </x:c>
      <x:c r="O90" s="5">
        <x:f>LOWER(M90)</x:f>
      </x:c>
      <x:c r="P90" s="3">
        <x:f>PROPER(M90)</x:f>
      </x:c>
      <x:c r="Q90" s="3">
        <x:f>LEN(M90)</x:f>
      </x:c>
      <x:c r="R90" s="3">
        <x:f>ISBLANK(B90)</x:f>
      </x:c>
      <x:c r="S90" s="3">
        <x:f>SIGN(E90)</x:f>
      </x:c>
      <x:c r="T90" s="3">
        <x:f>ISEVEN(ROW())</x:f>
      </x:c>
      <x:c r="U90" s="3">
        <x:f>ISODD(ROW())</x:f>
      </x:c>
    </x:row>
    <x:row r="91">
      <x:c r="A91" s="2" t="n">
        <x:v>45813</x:v>
      </x:c>
      <x:c r="B91" s="3" t="inlineStr">
        <x:is>
          <x:t xml:space="preserve">Monthly salary</x:t>
        </x:is>
      </x:c>
      <x:c r="C91" s="3" t="inlineStr">
        <x:is>
          <x:t xml:space="preserve">Consulting</x:t>
        </x:is>
      </x:c>
      <x:c r="D91" s="3" t="inlineStr">
        <x:is>
          <x:t xml:space="preserve">Savings</x:t>
        </x:is>
      </x:c>
      <x:c r="E91" s="4" t="n">
        <x:v>3848.44</x:v>
      </x:c>
      <x:c r="F91" s="5">
        <x:f>IF(E91&gt;=0,"Income","Expense")</x:f>
      </x:c>
      <x:c r="G91" s="6">
        <x:f>ABS(E91)</x:f>
      </x:c>
      <x:c r="H91" s="4">
        <x:f>ROUND(E91,2)</x:f>
      </x:c>
      <x:c r="I91" s="5">
        <x:f>MONTH(A91)</x:f>
      </x:c>
      <x:c r="J91" s="5">
        <x:f>YEAR(A91)</x:f>
      </x:c>
      <x:c r="K91" s="5">
        <x:f>WEEKNUM(A91,2)</x:f>
      </x:c>
      <x:c r="L91" s="5">
        <x:f>ISOWEEKNUM(A91)</x:f>
      </x:c>
      <x:c r="M91" s="5">
        <x:f>TRIM(CLEAN(B91))</x:f>
      </x:c>
      <x:c r="N91" s="5">
        <x:f>UPPER(M91)</x:f>
      </x:c>
      <x:c r="O91" s="5">
        <x:f>LOWER(M91)</x:f>
      </x:c>
      <x:c r="P91" s="3">
        <x:f>PROPER(M91)</x:f>
      </x:c>
      <x:c r="Q91" s="3">
        <x:f>LEN(M91)</x:f>
      </x:c>
      <x:c r="R91" s="3">
        <x:f>ISBLANK(B91)</x:f>
      </x:c>
      <x:c r="S91" s="3">
        <x:f>SIGN(E91)</x:f>
      </x:c>
      <x:c r="T91" s="3">
        <x:f>ISEVEN(ROW())</x:f>
      </x:c>
      <x:c r="U91" s="3">
        <x:f>ISODD(ROW())</x:f>
      </x:c>
    </x:row>
    <x:row r="92">
      <x:c r="A92" s="2" t="n">
        <x:v>45773</x:v>
      </x:c>
      <x:c r="B92" s="3" t="inlineStr">
        <x:is>
          <x:t xml:space="preserve">Estimated tax</x:t>
        </x:is>
      </x:c>
      <x:c r="C92" s="3" t="inlineStr">
        <x:is>
          <x:t xml:space="preserve">Insurance</x:t>
        </x:is>
      </x:c>
      <x:c r="D92" s="3" t="inlineStr">
        <x:is>
          <x:t xml:space="preserve">Credit Card</x:t>
        </x:is>
      </x:c>
      <x:c r="E92" s="4" t="n">
        <x:v>-2545.18</x:v>
      </x:c>
      <x:c r="F92" s="5">
        <x:f>IF(E92&gt;=0,"Income","Expense")</x:f>
      </x:c>
      <x:c r="G92" s="6">
        <x:f>ABS(E92)</x:f>
      </x:c>
      <x:c r="H92" s="4">
        <x:f>ROUND(E92,2)</x:f>
      </x:c>
      <x:c r="I92" s="5">
        <x:f>MONTH(A92)</x:f>
      </x:c>
      <x:c r="J92" s="5">
        <x:f>YEAR(A92)</x:f>
      </x:c>
      <x:c r="K92" s="5">
        <x:f>WEEKNUM(A92,2)</x:f>
      </x:c>
      <x:c r="L92" s="5">
        <x:f>ISOWEEKNUM(A92)</x:f>
      </x:c>
      <x:c r="M92" s="5">
        <x:f>TRIM(CLEAN(B92))</x:f>
      </x:c>
      <x:c r="N92" s="5">
        <x:f>UPPER(M92)</x:f>
      </x:c>
      <x:c r="O92" s="5">
        <x:f>LOWER(M92)</x:f>
      </x:c>
      <x:c r="P92" s="3">
        <x:f>PROPER(M92)</x:f>
      </x:c>
      <x:c r="Q92" s="3">
        <x:f>LEN(M92)</x:f>
      </x:c>
      <x:c r="R92" s="3">
        <x:f>ISBLANK(B92)</x:f>
      </x:c>
      <x:c r="S92" s="3">
        <x:f>SIGN(E92)</x:f>
      </x:c>
      <x:c r="T92" s="3">
        <x:f>ISEVEN(ROW())</x:f>
      </x:c>
      <x:c r="U92" s="3">
        <x:f>ISODD(ROW())</x:f>
      </x:c>
    </x:row>
    <x:row r="93">
      <x:c r="A93" s="2" t="n">
        <x:v>45814</x:v>
      </x:c>
      <x:c r="B93" s="3" t="inlineStr">
        <x:is>
          <x:t xml:space="preserve">Grocery store</x:t>
        </x:is>
      </x:c>
      <x:c r="C93" s="3" t="inlineStr">
        <x:is>
          <x:t xml:space="preserve">Rent</x:t>
        </x:is>
      </x:c>
      <x:c r="D93" s="3" t="inlineStr">
        <x:is>
          <x:t xml:space="preserve">Checking</x:t>
        </x:is>
      </x:c>
      <x:c r="E93" s="4" t="n">
        <x:v>-2654.04</x:v>
      </x:c>
      <x:c r="F93" s="5">
        <x:f>IF(E93&gt;=0,"Income","Expense")</x:f>
      </x:c>
      <x:c r="G93" s="6">
        <x:f>ABS(E93)</x:f>
      </x:c>
      <x:c r="H93" s="4">
        <x:f>ROUND(E93,2)</x:f>
      </x:c>
      <x:c r="I93" s="5">
        <x:f>MONTH(A93)</x:f>
      </x:c>
      <x:c r="J93" s="5">
        <x:f>YEAR(A93)</x:f>
      </x:c>
      <x:c r="K93" s="5">
        <x:f>WEEKNUM(A93,2)</x:f>
      </x:c>
      <x:c r="L93" s="5">
        <x:f>ISOWEEKNUM(A93)</x:f>
      </x:c>
      <x:c r="M93" s="5">
        <x:f>TRIM(CLEAN(B93))</x:f>
      </x:c>
      <x:c r="N93" s="5">
        <x:f>UPPER(M93)</x:f>
      </x:c>
      <x:c r="O93" s="5">
        <x:f>LOWER(M93)</x:f>
      </x:c>
      <x:c r="P93" s="3">
        <x:f>PROPER(M93)</x:f>
      </x:c>
      <x:c r="Q93" s="3">
        <x:f>LEN(M93)</x:f>
      </x:c>
      <x:c r="R93" s="3">
        <x:f>ISBLANK(B93)</x:f>
      </x:c>
      <x:c r="S93" s="3">
        <x:f>SIGN(E93)</x:f>
      </x:c>
      <x:c r="T93" s="3">
        <x:f>ISEVEN(ROW())</x:f>
      </x:c>
      <x:c r="U93" s="3">
        <x:f>ISODD(ROW())</x:f>
      </x:c>
    </x:row>
    <x:row r="94">
      <x:c r="A94" s="2" t="n">
        <x:v>45699</x:v>
      </x:c>
      <x:c r="B94" s="3" t="inlineStr">
        <x:is>
          <x:t xml:space="preserve">Monthly salary</x:t>
        </x:is>
      </x:c>
      <x:c r="C94" s="3" t="inlineStr">
        <x:is>
          <x:t xml:space="preserve">Consulting</x:t>
        </x:is>
      </x:c>
      <x:c r="D94" s="3" t="inlineStr">
        <x:is>
          <x:t xml:space="preserve">Savings</x:t>
        </x:is>
      </x:c>
      <x:c r="E94" s="4" t="n">
        <x:v>1439.2</x:v>
      </x:c>
      <x:c r="F94" s="5">
        <x:f>IF(E94&gt;=0,"Income","Expense")</x:f>
      </x:c>
      <x:c r="G94" s="6">
        <x:f>ABS(E94)</x:f>
      </x:c>
      <x:c r="H94" s="4">
        <x:f>ROUND(E94,2)</x:f>
      </x:c>
      <x:c r="I94" s="5">
        <x:f>MONTH(A94)</x:f>
      </x:c>
      <x:c r="J94" s="5">
        <x:f>YEAR(A94)</x:f>
      </x:c>
      <x:c r="K94" s="5">
        <x:f>WEEKNUM(A94,2)</x:f>
      </x:c>
      <x:c r="L94" s="5">
        <x:f>ISOWEEKNUM(A94)</x:f>
      </x:c>
      <x:c r="M94" s="5">
        <x:f>TRIM(CLEAN(B94))</x:f>
      </x:c>
      <x:c r="N94" s="5">
        <x:f>UPPER(M94)</x:f>
      </x:c>
      <x:c r="O94" s="5">
        <x:f>LOWER(M94)</x:f>
      </x:c>
      <x:c r="P94" s="3">
        <x:f>PROPER(M94)</x:f>
      </x:c>
      <x:c r="Q94" s="3">
        <x:f>LEN(M94)</x:f>
      </x:c>
      <x:c r="R94" s="3">
        <x:f>ISBLANK(B94)</x:f>
      </x:c>
      <x:c r="S94" s="3">
        <x:f>SIGN(E94)</x:f>
      </x:c>
      <x:c r="T94" s="3">
        <x:f>ISEVEN(ROW())</x:f>
      </x:c>
      <x:c r="U94" s="3">
        <x:f>ISODD(ROW())</x:f>
      </x:c>
    </x:row>
    <x:row r="95">
      <x:c r="A95" s="2" t="n">
        <x:v>45807</x:v>
      </x:c>
      <x:c r="B95" s="3" t="inlineStr">
        <x:is>
          <x:t xml:space="preserve">Bank interest  </x:t>
        </x:is>
      </x:c>
      <x:c r="C95" s="3" t="inlineStr">
        <x:is>
          <x:t xml:space="preserve">Interest</x:t>
        </x:is>
      </x:c>
      <x:c r="D95" s="3" t="inlineStr">
        <x:is>
          <x:t xml:space="preserve">Savings</x:t>
        </x:is>
      </x:c>
      <x:c r="E95" s="4" t="n">
        <x:v>4717.93</x:v>
      </x:c>
      <x:c r="F95" s="5">
        <x:f>IF(E95&gt;=0,"Income","Expense")</x:f>
      </x:c>
      <x:c r="G95" s="6">
        <x:f>ABS(E95)</x:f>
      </x:c>
      <x:c r="H95" s="4">
        <x:f>ROUND(E95,2)</x:f>
      </x:c>
      <x:c r="I95" s="5">
        <x:f>MONTH(A95)</x:f>
      </x:c>
      <x:c r="J95" s="5">
        <x:f>YEAR(A95)</x:f>
      </x:c>
      <x:c r="K95" s="5">
        <x:f>WEEKNUM(A95,2)</x:f>
      </x:c>
      <x:c r="L95" s="5">
        <x:f>ISOWEEKNUM(A95)</x:f>
      </x:c>
      <x:c r="M95" s="5">
        <x:f>TRIM(CLEAN(B95))</x:f>
      </x:c>
      <x:c r="N95" s="5">
        <x:f>UPPER(M95)</x:f>
      </x:c>
      <x:c r="O95" s="5">
        <x:f>LOWER(M95)</x:f>
      </x:c>
      <x:c r="P95" s="3">
        <x:f>PROPER(M95)</x:f>
      </x:c>
      <x:c r="Q95" s="3">
        <x:f>LEN(M95)</x:f>
      </x:c>
      <x:c r="R95" s="3">
        <x:f>ISBLANK(B95)</x:f>
      </x:c>
      <x:c r="S95" s="3">
        <x:f>SIGN(E95)</x:f>
      </x:c>
      <x:c r="T95" s="3">
        <x:f>ISEVEN(ROW())</x:f>
      </x:c>
      <x:c r="U95" s="3">
        <x:f>ISODD(ROW())</x:f>
      </x:c>
    </x:row>
    <x:row r="96">
      <x:c r="A96" s="2" t="n">
        <x:v>45793</x:v>
      </x:c>
      <x:c r="B96" s="3" t="inlineStr">
        <x:is>
          <x:t xml:space="preserve">Policy premium</x:t>
        </x:is>
      </x:c>
      <x:c r="C96" s="3" t="inlineStr">
        <x:is>
          <x:t xml:space="preserve">Travel</x:t>
        </x:is>
      </x:c>
      <x:c r="D96" s="3" t="inlineStr">
        <x:is>
          <x:t xml:space="preserve">Checking</x:t>
        </x:is>
      </x:c>
      <x:c r="E96" s="4" t="n">
        <x:v>-334.65</x:v>
      </x:c>
      <x:c r="F96" s="5">
        <x:f>IF(E96&gt;=0,"Income","Expense")</x:f>
      </x:c>
      <x:c r="G96" s="6">
        <x:f>ABS(E96)</x:f>
      </x:c>
      <x:c r="H96" s="4">
        <x:f>ROUND(E96,2)</x:f>
      </x:c>
      <x:c r="I96" s="5">
        <x:f>MONTH(A96)</x:f>
      </x:c>
      <x:c r="J96" s="5">
        <x:f>YEAR(A96)</x:f>
      </x:c>
      <x:c r="K96" s="5">
        <x:f>WEEKNUM(A96,2)</x:f>
      </x:c>
      <x:c r="L96" s="5">
        <x:f>ISOWEEKNUM(A96)</x:f>
      </x:c>
      <x:c r="M96" s="5">
        <x:f>TRIM(CLEAN(B96))</x:f>
      </x:c>
      <x:c r="N96" s="5">
        <x:f>UPPER(M96)</x:f>
      </x:c>
      <x:c r="O96" s="5">
        <x:f>LOWER(M96)</x:f>
      </x:c>
      <x:c r="P96" s="3">
        <x:f>PROPER(M96)</x:f>
      </x:c>
      <x:c r="Q96" s="3">
        <x:f>LEN(M96)</x:f>
      </x:c>
      <x:c r="R96" s="3">
        <x:f>ISBLANK(B96)</x:f>
      </x:c>
      <x:c r="S96" s="3">
        <x:f>SIGN(E96)</x:f>
      </x:c>
      <x:c r="T96" s="3">
        <x:f>ISEVEN(ROW())</x:f>
      </x:c>
      <x:c r="U96" s="3">
        <x:f>ISODD(ROW())</x:f>
      </x:c>
    </x:row>
    <x:row r="97">
      <x:c r="A97" s="2" t="n">
        <x:v>45730</x:v>
      </x:c>
      <x:c r="B97" s="3" t="inlineStr">
        <x:is>
          <x:t xml:space="preserve">Bank interest</x:t>
        </x:is>
      </x:c>
      <x:c r="C97" s="3" t="inlineStr">
        <x:is>
          <x:t xml:space="preserve">Consulting</x:t>
        </x:is>
      </x:c>
      <x:c r="D97" s="3" t="inlineStr">
        <x:is>
          <x:t xml:space="preserve">Savings</x:t>
        </x:is>
      </x:c>
      <x:c r="E97" s="4" t="n">
        <x:v>4070.26</x:v>
      </x:c>
      <x:c r="F97" s="5">
        <x:f>IF(E97&gt;=0,"Income","Expense")</x:f>
      </x:c>
      <x:c r="G97" s="6">
        <x:f>ABS(E97)</x:f>
      </x:c>
      <x:c r="H97" s="4">
        <x:f>ROUND(E97,2)</x:f>
      </x:c>
      <x:c r="I97" s="5">
        <x:f>MONTH(A97)</x:f>
      </x:c>
      <x:c r="J97" s="5">
        <x:f>YEAR(A97)</x:f>
      </x:c>
      <x:c r="K97" s="5">
        <x:f>WEEKNUM(A97,2)</x:f>
      </x:c>
      <x:c r="L97" s="5">
        <x:f>ISOWEEKNUM(A97)</x:f>
      </x:c>
      <x:c r="M97" s="5">
        <x:f>TRIM(CLEAN(B97))</x:f>
      </x:c>
      <x:c r="N97" s="5">
        <x:f>UPPER(M97)</x:f>
      </x:c>
      <x:c r="O97" s="5">
        <x:f>LOWER(M97)</x:f>
      </x:c>
      <x:c r="P97" s="3">
        <x:f>PROPER(M97)</x:f>
      </x:c>
      <x:c r="Q97" s="3">
        <x:f>LEN(M97)</x:f>
      </x:c>
      <x:c r="R97" s="3">
        <x:f>ISBLANK(B97)</x:f>
      </x:c>
      <x:c r="S97" s="3">
        <x:f>SIGN(E97)</x:f>
      </x:c>
      <x:c r="T97" s="3">
        <x:f>ISEVEN(ROW())</x:f>
      </x:c>
      <x:c r="U97" s="3">
        <x:f>ISODD(ROW())</x:f>
      </x:c>
    </x:row>
    <x:row r="98">
      <x:c r="A98" s="2" t="n">
        <x:v>45813</x:v>
      </x:c>
      <x:c r="B98" s="3" t="inlineStr">
        <x:is>
          <x:t xml:space="preserve">Estimated tax  </x:t>
        </x:is>
      </x:c>
      <x:c r="C98" s="3" t="inlineStr">
        <x:is>
          <x:t xml:space="preserve">Software</x:t>
        </x:is>
      </x:c>
      <x:c r="D98" s="3" t="inlineStr">
        <x:is>
          <x:t xml:space="preserve">Savings</x:t>
        </x:is>
      </x:c>
      <x:c r="E98" s="4" t="n">
        <x:v>-1234.16</x:v>
      </x:c>
      <x:c r="F98" s="5">
        <x:f>IF(E98&gt;=0,"Income","Expense")</x:f>
      </x:c>
      <x:c r="G98" s="6">
        <x:f>ABS(E98)</x:f>
      </x:c>
      <x:c r="H98" s="4">
        <x:f>ROUND(E98,2)</x:f>
      </x:c>
      <x:c r="I98" s="5">
        <x:f>MONTH(A98)</x:f>
      </x:c>
      <x:c r="J98" s="5">
        <x:f>YEAR(A98)</x:f>
      </x:c>
      <x:c r="K98" s="5">
        <x:f>WEEKNUM(A98,2)</x:f>
      </x:c>
      <x:c r="L98" s="5">
        <x:f>ISOWEEKNUM(A98)</x:f>
      </x:c>
      <x:c r="M98" s="5">
        <x:f>TRIM(CLEAN(B98))</x:f>
      </x:c>
      <x:c r="N98" s="5">
        <x:f>UPPER(M98)</x:f>
      </x:c>
      <x:c r="O98" s="5">
        <x:f>LOWER(M98)</x:f>
      </x:c>
      <x:c r="P98" s="3">
        <x:f>PROPER(M98)</x:f>
      </x:c>
      <x:c r="Q98" s="3">
        <x:f>LEN(M98)</x:f>
      </x:c>
      <x:c r="R98" s="3">
        <x:f>ISBLANK(B98)</x:f>
      </x:c>
      <x:c r="S98" s="3">
        <x:f>SIGN(E98)</x:f>
      </x:c>
      <x:c r="T98" s="3">
        <x:f>ISEVEN(ROW())</x:f>
      </x:c>
      <x:c r="U98" s="3">
        <x:f>ISODD(ROW())</x:f>
      </x:c>
    </x:row>
    <x:row r="99">
      <x:c r="A99" s="2" t="n">
        <x:v>45823</x:v>
      </x:c>
      <x:c r="B99" s="3" t="inlineStr">
        <x:is>
          <x:t xml:space="preserve">Grocery store</x:t>
        </x:is>
      </x:c>
      <x:c r="C99" s="3" t="inlineStr">
        <x:is>
          <x:t xml:space="preserve">Rent</x:t>
        </x:is>
      </x:c>
      <x:c r="D99" s="3" t="inlineStr">
        <x:is>
          <x:t xml:space="preserve">Savings</x:t>
        </x:is>
      </x:c>
      <x:c r="E99" s="4" t="n">
        <x:v>-652.55</x:v>
      </x:c>
      <x:c r="F99" s="5">
        <x:f>IF(E99&gt;=0,"Income","Expense")</x:f>
      </x:c>
      <x:c r="G99" s="6">
        <x:f>ABS(E99)</x:f>
      </x:c>
      <x:c r="H99" s="4">
        <x:f>ROUND(E99,2)</x:f>
      </x:c>
      <x:c r="I99" s="5">
        <x:f>MONTH(A99)</x:f>
      </x:c>
      <x:c r="J99" s="5">
        <x:f>YEAR(A99)</x:f>
      </x:c>
      <x:c r="K99" s="5">
        <x:f>WEEKNUM(A99,2)</x:f>
      </x:c>
      <x:c r="L99" s="5">
        <x:f>ISOWEEKNUM(A99)</x:f>
      </x:c>
      <x:c r="M99" s="5">
        <x:f>TRIM(CLEAN(B99))</x:f>
      </x:c>
      <x:c r="N99" s="5">
        <x:f>UPPER(M99)</x:f>
      </x:c>
      <x:c r="O99" s="5">
        <x:f>LOWER(M99)</x:f>
      </x:c>
      <x:c r="P99" s="3">
        <x:f>PROPER(M99)</x:f>
      </x:c>
      <x:c r="Q99" s="3">
        <x:f>LEN(M99)</x:f>
      </x:c>
      <x:c r="R99" s="3">
        <x:f>ISBLANK(B99)</x:f>
      </x:c>
      <x:c r="S99" s="3">
        <x:f>SIGN(E99)</x:f>
      </x:c>
      <x:c r="T99" s="3">
        <x:f>ISEVEN(ROW())</x:f>
      </x:c>
      <x:c r="U99" s="3">
        <x:f>ISODD(ROW())</x:f>
      </x:c>
    </x:row>
    <x:row r="100">
      <x:c r="A100" s="2" t="n">
        <x:v>45668</x:v>
      </x:c>
      <x:c r="B100" s="3" t="inlineStr">
        <x:is>
          <x:t xml:space="preserve">Apartment rent</x:t>
        </x:is>
      </x:c>
      <x:c r="C100" s="3" t="inlineStr">
        <x:is>
          <x:t xml:space="preserve">Software</x:t>
        </x:is>
      </x:c>
      <x:c r="D100" s="3" t="inlineStr">
        <x:is>
          <x:t xml:space="preserve">Checking</x:t>
        </x:is>
      </x:c>
      <x:c r="E100" s="4" t="n">
        <x:v>-2140.26</x:v>
      </x:c>
      <x:c r="F100" s="5">
        <x:f>IF(E100&gt;=0,"Income","Expense")</x:f>
      </x:c>
      <x:c r="G100" s="6">
        <x:f>ABS(E100)</x:f>
      </x:c>
      <x:c r="H100" s="4">
        <x:f>ROUND(E100,2)</x:f>
      </x:c>
      <x:c r="I100" s="5">
        <x:f>MONTH(A100)</x:f>
      </x:c>
      <x:c r="J100" s="5">
        <x:f>YEAR(A100)</x:f>
      </x:c>
      <x:c r="K100" s="5">
        <x:f>WEEKNUM(A100,2)</x:f>
      </x:c>
      <x:c r="L100" s="5">
        <x:f>ISOWEEKNUM(A100)</x:f>
      </x:c>
      <x:c r="M100" s="5">
        <x:f>TRIM(CLEAN(B100))</x:f>
      </x:c>
      <x:c r="N100" s="5">
        <x:f>UPPER(M100)</x:f>
      </x:c>
      <x:c r="O100" s="5">
        <x:f>LOWER(M100)</x:f>
      </x:c>
      <x:c r="P100" s="3">
        <x:f>PROPER(M100)</x:f>
      </x:c>
      <x:c r="Q100" s="3">
        <x:f>LEN(M100)</x:f>
      </x:c>
      <x:c r="R100" s="3">
        <x:f>ISBLANK(B100)</x:f>
      </x:c>
      <x:c r="S100" s="3">
        <x:f>SIGN(E100)</x:f>
      </x:c>
      <x:c r="T100" s="3">
        <x:f>ISEVEN(ROW())</x:f>
      </x:c>
      <x:c r="U100" s="3">
        <x:f>ISODD(ROW())</x:f>
      </x:c>
    </x:row>
    <x:row r="101">
      <x:c r="A101" s="2" t="n">
        <x:v>45800</x:v>
      </x:c>
      <x:c r="B101" s="3" t="inlineStr">
        <x:is>
          <x:t xml:space="preserve">Tax refund</x:t>
        </x:is>
      </x:c>
      <x:c r="C101" s="3" t="inlineStr">
        <x:is>
          <x:t xml:space="preserve">Refund</x:t>
        </x:is>
      </x:c>
      <x:c r="D101" s="3" t="inlineStr">
        <x:is>
          <x:t xml:space="preserve">Savings</x:t>
        </x:is>
      </x:c>
      <x:c r="E101" s="4" t="n">
        <x:v>6314.33</x:v>
      </x:c>
      <x:c r="F101" s="5">
        <x:f>IF(E101&gt;=0,"Income","Expense")</x:f>
      </x:c>
      <x:c r="G101" s="6">
        <x:f>ABS(E101)</x:f>
      </x:c>
      <x:c r="H101" s="4">
        <x:f>ROUND(E101,2)</x:f>
      </x:c>
      <x:c r="I101" s="5">
        <x:f>MONTH(A101)</x:f>
      </x:c>
      <x:c r="J101" s="5">
        <x:f>YEAR(A101)</x:f>
      </x:c>
      <x:c r="K101" s="5">
        <x:f>WEEKNUM(A101,2)</x:f>
      </x:c>
      <x:c r="L101" s="5">
        <x:f>ISOWEEKNUM(A101)</x:f>
      </x:c>
      <x:c r="M101" s="5">
        <x:f>TRIM(CLEAN(B101))</x:f>
      </x:c>
      <x:c r="N101" s="5">
        <x:f>UPPER(M101)</x:f>
      </x:c>
      <x:c r="O101" s="5">
        <x:f>LOWER(M101)</x:f>
      </x:c>
      <x:c r="P101" s="3">
        <x:f>PROPER(M101)</x:f>
      </x:c>
      <x:c r="Q101" s="3">
        <x:f>LEN(M101)</x:f>
      </x:c>
      <x:c r="R101" s="3">
        <x:f>ISBLANK(B101)</x:f>
      </x:c>
      <x:c r="S101" s="3">
        <x:f>SIGN(E101)</x:f>
      </x:c>
      <x:c r="T101" s="3">
        <x:f>ISEVEN(ROW())</x:f>
      </x:c>
      <x:c r="U101" s="3">
        <x:f>ISODD(ROW())</x:f>
      </x:c>
    </x:row>
    <x:row r="102">
      <x:c r="A102" s="2" t="n">
        <x:v>46001</x:v>
      </x:c>
      <x:c r="B102" s="3" t="inlineStr">
        <x:is>
          <x:t xml:space="preserve">Bank interest</x:t>
        </x:is>
      </x:c>
      <x:c r="C102" s="3" t="inlineStr">
        <x:is>
          <x:t xml:space="preserve">Consulting</x:t>
        </x:is>
      </x:c>
      <x:c r="D102" s="3" t="inlineStr">
        <x:is>
          <x:t xml:space="preserve">Savings</x:t>
        </x:is>
      </x:c>
      <x:c r="E102" s="4" t="n">
        <x:v>2969.87</x:v>
      </x:c>
      <x:c r="F102" s="5">
        <x:f>IF(E102&gt;=0,"Income","Expense")</x:f>
      </x:c>
      <x:c r="G102" s="6">
        <x:f>ABS(E102)</x:f>
      </x:c>
      <x:c r="H102" s="4">
        <x:f>ROUND(E102,2)</x:f>
      </x:c>
      <x:c r="I102" s="5">
        <x:f>MONTH(A102)</x:f>
      </x:c>
      <x:c r="J102" s="5">
        <x:f>YEAR(A102)</x:f>
      </x:c>
      <x:c r="K102" s="5">
        <x:f>WEEKNUM(A102,2)</x:f>
      </x:c>
      <x:c r="L102" s="5">
        <x:f>ISOWEEKNUM(A102)</x:f>
      </x:c>
      <x:c r="M102" s="5">
        <x:f>TRIM(CLEAN(B102))</x:f>
      </x:c>
      <x:c r="N102" s="5">
        <x:f>UPPER(M102)</x:f>
      </x:c>
      <x:c r="O102" s="5">
        <x:f>LOWER(M102)</x:f>
      </x:c>
      <x:c r="P102" s="3">
        <x:f>PROPER(M102)</x:f>
      </x:c>
      <x:c r="Q102" s="3">
        <x:f>LEN(M102)</x:f>
      </x:c>
      <x:c r="R102" s="3">
        <x:f>ISBLANK(B102)</x:f>
      </x:c>
      <x:c r="S102" s="3">
        <x:f>SIGN(E102)</x:f>
      </x:c>
      <x:c r="T102" s="3">
        <x:f>ISEVEN(ROW())</x:f>
      </x:c>
      <x:c r="U102" s="3">
        <x:f>ISODD(ROW())</x:f>
      </x:c>
    </x:row>
    <x:row r="103">
      <x:c r="A103" s="2" t="n">
        <x:v>45939</x:v>
      </x:c>
      <x:c r="B103" s="3" t="inlineStr">
        <x:is>
          <x:t xml:space="preserve">Bank interest</x:t>
        </x:is>
      </x:c>
      <x:c r="C103" s="3" t="inlineStr">
        <x:is>
          <x:t xml:space="preserve">Salary</x:t>
        </x:is>
      </x:c>
      <x:c r="D103" s="3" t="inlineStr">
        <x:is>
          <x:t xml:space="preserve">Checking</x:t>
        </x:is>
      </x:c>
      <x:c r="E103" s="4" t="n">
        <x:v>2014.39</x:v>
      </x:c>
      <x:c r="F103" s="5">
        <x:f>IF(E103&gt;=0,"Income","Expense")</x:f>
      </x:c>
      <x:c r="G103" s="6">
        <x:f>ABS(E103)</x:f>
      </x:c>
      <x:c r="H103" s="4">
        <x:f>ROUND(E103,2)</x:f>
      </x:c>
      <x:c r="I103" s="5">
        <x:f>MONTH(A103)</x:f>
      </x:c>
      <x:c r="J103" s="5">
        <x:f>YEAR(A103)</x:f>
      </x:c>
      <x:c r="K103" s="5">
        <x:f>WEEKNUM(A103,2)</x:f>
      </x:c>
      <x:c r="L103" s="5">
        <x:f>ISOWEEKNUM(A103)</x:f>
      </x:c>
      <x:c r="M103" s="5">
        <x:f>TRIM(CLEAN(B103))</x:f>
      </x:c>
      <x:c r="N103" s="5">
        <x:f>UPPER(M103)</x:f>
      </x:c>
      <x:c r="O103" s="5">
        <x:f>LOWER(M103)</x:f>
      </x:c>
      <x:c r="P103" s="3">
        <x:f>PROPER(M103)</x:f>
      </x:c>
      <x:c r="Q103" s="3">
        <x:f>LEN(M103)</x:f>
      </x:c>
      <x:c r="R103" s="3">
        <x:f>ISBLANK(B103)</x:f>
      </x:c>
      <x:c r="S103" s="3">
        <x:f>SIGN(E103)</x:f>
      </x:c>
      <x:c r="T103" s="3">
        <x:f>ISEVEN(ROW())</x:f>
      </x:c>
      <x:c r="U103" s="3">
        <x:f>ISODD(ROW())</x:f>
      </x:c>
    </x:row>
    <x:row r="104">
      <x:c r="A104" s="2" t="n">
        <x:v>45921</x:v>
      </x:c>
      <x:c r="B104" s="3" t="inlineStr">
        <x:is>
          <x:t xml:space="preserve">Estimated tax</x:t>
        </x:is>
      </x:c>
      <x:c r="C104" s="3" t="inlineStr">
        <x:is>
          <x:t xml:space="preserve">Rent</x:t>
        </x:is>
      </x:c>
      <x:c r="D104" s="3" t="inlineStr">
        <x:is>
          <x:t xml:space="preserve">Checking</x:t>
        </x:is>
      </x:c>
      <x:c r="E104" s="4" t="n">
        <x:v>-1165.89</x:v>
      </x:c>
      <x:c r="F104" s="5">
        <x:f>IF(E104&gt;=0,"Income","Expense")</x:f>
      </x:c>
      <x:c r="G104" s="6">
        <x:f>ABS(E104)</x:f>
      </x:c>
      <x:c r="H104" s="4">
        <x:f>ROUND(E104,2)</x:f>
      </x:c>
      <x:c r="I104" s="5">
        <x:f>MONTH(A104)</x:f>
      </x:c>
      <x:c r="J104" s="5">
        <x:f>YEAR(A104)</x:f>
      </x:c>
      <x:c r="K104" s="5">
        <x:f>WEEKNUM(A104,2)</x:f>
      </x:c>
      <x:c r="L104" s="5">
        <x:f>ISOWEEKNUM(A104)</x:f>
      </x:c>
      <x:c r="M104" s="5">
        <x:f>TRIM(CLEAN(B104))</x:f>
      </x:c>
      <x:c r="N104" s="5">
        <x:f>UPPER(M104)</x:f>
      </x:c>
      <x:c r="O104" s="5">
        <x:f>LOWER(M104)</x:f>
      </x:c>
      <x:c r="P104" s="3">
        <x:f>PROPER(M104)</x:f>
      </x:c>
      <x:c r="Q104" s="3">
        <x:f>LEN(M104)</x:f>
      </x:c>
      <x:c r="R104" s="3">
        <x:f>ISBLANK(B104)</x:f>
      </x:c>
      <x:c r="S104" s="3">
        <x:f>SIGN(E104)</x:f>
      </x:c>
      <x:c r="T104" s="3">
        <x:f>ISEVEN(ROW())</x:f>
      </x:c>
      <x:c r="U104" s="3">
        <x:f>ISODD(ROW())</x:f>
      </x:c>
    </x:row>
    <x:row r="105">
      <x:c r="A105" s="2" t="n">
        <x:v>45913</x:v>
      </x:c>
      <x:c r="B105" s="3" t="inlineStr">
        <x:is>
          <x:t xml:space="preserve">Business trip</x:t>
        </x:is>
      </x:c>
      <x:c r="C105" s="3" t="inlineStr">
        <x:is>
          <x:t xml:space="preserve">Rent</x:t>
        </x:is>
      </x:c>
      <x:c r="D105" s="3" t="inlineStr">
        <x:is>
          <x:t xml:space="preserve">Checking</x:t>
        </x:is>
      </x:c>
      <x:c r="E105" s="4" t="n">
        <x:v>-758.75</x:v>
      </x:c>
      <x:c r="F105" s="5">
        <x:f>IF(E105&gt;=0,"Income","Expense")</x:f>
      </x:c>
      <x:c r="G105" s="6">
        <x:f>ABS(E105)</x:f>
      </x:c>
      <x:c r="H105" s="4">
        <x:f>ROUND(E105,2)</x:f>
      </x:c>
      <x:c r="I105" s="5">
        <x:f>MONTH(A105)</x:f>
      </x:c>
      <x:c r="J105" s="5">
        <x:f>YEAR(A105)</x:f>
      </x:c>
      <x:c r="K105" s="5">
        <x:f>WEEKNUM(A105,2)</x:f>
      </x:c>
      <x:c r="L105" s="5">
        <x:f>ISOWEEKNUM(A105)</x:f>
      </x:c>
      <x:c r="M105" s="5">
        <x:f>TRIM(CLEAN(B105))</x:f>
      </x:c>
      <x:c r="N105" s="5">
        <x:f>UPPER(M105)</x:f>
      </x:c>
      <x:c r="O105" s="5">
        <x:f>LOWER(M105)</x:f>
      </x:c>
      <x:c r="P105" s="3">
        <x:f>PROPER(M105)</x:f>
      </x:c>
      <x:c r="Q105" s="3">
        <x:f>LEN(M105)</x:f>
      </x:c>
      <x:c r="R105" s="3">
        <x:f>ISBLANK(B105)</x:f>
      </x:c>
      <x:c r="S105" s="3">
        <x:f>SIGN(E105)</x:f>
      </x:c>
      <x:c r="T105" s="3">
        <x:f>ISEVEN(ROW())</x:f>
      </x:c>
      <x:c r="U105" s="3">
        <x:f>ISODD(ROW())</x:f>
      </x:c>
    </x:row>
    <x:row r="106">
      <x:c r="A106" s="2" t="n">
        <x:v>46015</x:v>
      </x:c>
      <x:c r="B106" s="3" t="inlineStr">
        <x:is>
          <x:t xml:space="preserve">Business trip</x:t>
        </x:is>
      </x:c>
      <x:c r="C106" s="3" t="inlineStr">
        <x:is>
          <x:t xml:space="preserve">Rent</x:t>
        </x:is>
      </x:c>
      <x:c r="D106" s="3" t="inlineStr">
        <x:is>
          <x:t xml:space="preserve">Credit Card</x:t>
        </x:is>
      </x:c>
      <x:c r="E106" s="4" t="n">
        <x:v>-1991.75</x:v>
      </x:c>
      <x:c r="F106" s="5">
        <x:f>IF(E106&gt;=0,"Income","Expense")</x:f>
      </x:c>
      <x:c r="G106" s="6">
        <x:f>ABS(E106)</x:f>
      </x:c>
      <x:c r="H106" s="4">
        <x:f>ROUND(E106,2)</x:f>
      </x:c>
      <x:c r="I106" s="5">
        <x:f>MONTH(A106)</x:f>
      </x:c>
      <x:c r="J106" s="5">
        <x:f>YEAR(A106)</x:f>
      </x:c>
      <x:c r="K106" s="5">
        <x:f>WEEKNUM(A106,2)</x:f>
      </x:c>
      <x:c r="L106" s="5">
        <x:f>ISOWEEKNUM(A106)</x:f>
      </x:c>
      <x:c r="M106" s="5">
        <x:f>TRIM(CLEAN(B106))</x:f>
      </x:c>
      <x:c r="N106" s="5">
        <x:f>UPPER(M106)</x:f>
      </x:c>
      <x:c r="O106" s="5">
        <x:f>LOWER(M106)</x:f>
      </x:c>
      <x:c r="P106" s="3">
        <x:f>PROPER(M106)</x:f>
      </x:c>
      <x:c r="Q106" s="3">
        <x:f>LEN(M106)</x:f>
      </x:c>
      <x:c r="R106" s="3">
        <x:f>ISBLANK(B106)</x:f>
      </x:c>
      <x:c r="S106" s="3">
        <x:f>SIGN(E106)</x:f>
      </x:c>
      <x:c r="T106" s="3">
        <x:f>ISEVEN(ROW())</x:f>
      </x:c>
      <x:c r="U106" s="3">
        <x:f>ISODD(ROW())</x:f>
      </x:c>
    </x:row>
    <x:row r="107">
      <x:c r="A107" s="2" t="n">
        <x:v>45705</x:v>
      </x:c>
      <x:c r="B107" s="3" t="inlineStr">
        <x:is>
          <x:t xml:space="preserve">Tax refund</x:t>
        </x:is>
      </x:c>
      <x:c r="C107" s="3" t="inlineStr">
        <x:is>
          <x:t xml:space="preserve">Salary</x:t>
        </x:is>
      </x:c>
      <x:c r="D107" s="3" t="inlineStr">
        <x:is>
          <x:t xml:space="preserve">Checking</x:t>
        </x:is>
      </x:c>
      <x:c r="E107" s="4" t="n">
        <x:v>6182.36</x:v>
      </x:c>
      <x:c r="F107" s="5">
        <x:f>IF(E107&gt;=0,"Income","Expense")</x:f>
      </x:c>
      <x:c r="G107" s="6">
        <x:f>ABS(E107)</x:f>
      </x:c>
      <x:c r="H107" s="4">
        <x:f>ROUND(E107,2)</x:f>
      </x:c>
      <x:c r="I107" s="5">
        <x:f>MONTH(A107)</x:f>
      </x:c>
      <x:c r="J107" s="5">
        <x:f>YEAR(A107)</x:f>
      </x:c>
      <x:c r="K107" s="5">
        <x:f>WEEKNUM(A107,2)</x:f>
      </x:c>
      <x:c r="L107" s="5">
        <x:f>ISOWEEKNUM(A107)</x:f>
      </x:c>
      <x:c r="M107" s="5">
        <x:f>TRIM(CLEAN(B107))</x:f>
      </x:c>
      <x:c r="N107" s="5">
        <x:f>UPPER(M107)</x:f>
      </x:c>
      <x:c r="O107" s="5">
        <x:f>LOWER(M107)</x:f>
      </x:c>
      <x:c r="P107" s="3">
        <x:f>PROPER(M107)</x:f>
      </x:c>
      <x:c r="Q107" s="3">
        <x:f>LEN(M107)</x:f>
      </x:c>
      <x:c r="R107" s="3">
        <x:f>ISBLANK(B107)</x:f>
      </x:c>
      <x:c r="S107" s="3">
        <x:f>SIGN(E107)</x:f>
      </x:c>
      <x:c r="T107" s="3">
        <x:f>ISEVEN(ROW())</x:f>
      </x:c>
      <x:c r="U107" s="3">
        <x:f>ISODD(ROW())</x:f>
      </x:c>
    </x:row>
    <x:row r="108">
      <x:c r="A108" s="2" t="n">
        <x:v>45918</x:v>
      </x:c>
      <x:c r="B108" s="3" t="inlineStr">
        <x:is>
          <x:t xml:space="preserve">Estimated tax</x:t>
        </x:is>
      </x:c>
      <x:c r="C108" s="3" t="inlineStr">
        <x:is>
          <x:t xml:space="preserve">Insurance</x:t>
        </x:is>
      </x:c>
      <x:c r="D108" s="3" t="inlineStr">
        <x:is>
          <x:t xml:space="preserve">Checking</x:t>
        </x:is>
      </x:c>
      <x:c r="E108" s="4" t="n">
        <x:v>-2744.98</x:v>
      </x:c>
      <x:c r="F108" s="5">
        <x:f>IF(E108&gt;=0,"Income","Expense")</x:f>
      </x:c>
      <x:c r="G108" s="6">
        <x:f>ABS(E108)</x:f>
      </x:c>
      <x:c r="H108" s="4">
        <x:f>ROUND(E108,2)</x:f>
      </x:c>
      <x:c r="I108" s="5">
        <x:f>MONTH(A108)</x:f>
      </x:c>
      <x:c r="J108" s="5">
        <x:f>YEAR(A108)</x:f>
      </x:c>
      <x:c r="K108" s="5">
        <x:f>WEEKNUM(A108,2)</x:f>
      </x:c>
      <x:c r="L108" s="5">
        <x:f>ISOWEEKNUM(A108)</x:f>
      </x:c>
      <x:c r="M108" s="5">
        <x:f>TRIM(CLEAN(B108))</x:f>
      </x:c>
      <x:c r="N108" s="5">
        <x:f>UPPER(M108)</x:f>
      </x:c>
      <x:c r="O108" s="5">
        <x:f>LOWER(M108)</x:f>
      </x:c>
      <x:c r="P108" s="3">
        <x:f>PROPER(M108)</x:f>
      </x:c>
      <x:c r="Q108" s="3">
        <x:f>LEN(M108)</x:f>
      </x:c>
      <x:c r="R108" s="3">
        <x:f>ISBLANK(B108)</x:f>
      </x:c>
      <x:c r="S108" s="3">
        <x:f>SIGN(E108)</x:f>
      </x:c>
      <x:c r="T108" s="3">
        <x:f>ISEVEN(ROW())</x:f>
      </x:c>
      <x:c r="U108" s="3">
        <x:f>ISODD(ROW())</x:f>
      </x:c>
    </x:row>
    <x:row r="109">
      <x:c r="A109" s="2" t="n">
        <x:v>45755</x:v>
      </x:c>
      <x:c r="B109" s="3" t="inlineStr">
        <x:is>
          <x:t xml:space="preserve">Grocery store</x:t>
        </x:is>
      </x:c>
      <x:c r="C109" s="3" t="inlineStr">
        <x:is>
          <x:t xml:space="preserve">Utilities</x:t>
        </x:is>
      </x:c>
      <x:c r="D109" s="3" t="inlineStr">
        <x:is>
          <x:t xml:space="preserve">Credit Card</x:t>
        </x:is>
      </x:c>
      <x:c r="E109" s="4" t="n">
        <x:v>-784.35</x:v>
      </x:c>
      <x:c r="F109" s="5">
        <x:f>IF(E109&gt;=0,"Income","Expense")</x:f>
      </x:c>
      <x:c r="G109" s="6">
        <x:f>ABS(E109)</x:f>
      </x:c>
      <x:c r="H109" s="4">
        <x:f>ROUND(E109,2)</x:f>
      </x:c>
      <x:c r="I109" s="5">
        <x:f>MONTH(A109)</x:f>
      </x:c>
      <x:c r="J109" s="5">
        <x:f>YEAR(A109)</x:f>
      </x:c>
      <x:c r="K109" s="5">
        <x:f>WEEKNUM(A109,2)</x:f>
      </x:c>
      <x:c r="L109" s="5">
        <x:f>ISOWEEKNUM(A109)</x:f>
      </x:c>
      <x:c r="M109" s="5">
        <x:f>TRIM(CLEAN(B109))</x:f>
      </x:c>
      <x:c r="N109" s="5">
        <x:f>UPPER(M109)</x:f>
      </x:c>
      <x:c r="O109" s="5">
        <x:f>LOWER(M109)</x:f>
      </x:c>
      <x:c r="P109" s="3">
        <x:f>PROPER(M109)</x:f>
      </x:c>
      <x:c r="Q109" s="3">
        <x:f>LEN(M109)</x:f>
      </x:c>
      <x:c r="R109" s="3">
        <x:f>ISBLANK(B109)</x:f>
      </x:c>
      <x:c r="S109" s="3">
        <x:f>SIGN(E109)</x:f>
      </x:c>
      <x:c r="T109" s="3">
        <x:f>ISEVEN(ROW())</x:f>
      </x:c>
      <x:c r="U109" s="3">
        <x:f>ISODD(ROW())</x:f>
      </x:c>
    </x:row>
    <x:row r="110">
      <x:c r="A110" s="2" t="n">
        <x:v>45794</x:v>
      </x:c>
      <x:c r="B110" s="3" t="inlineStr">
        <x:is>
          <x:t xml:space="preserve">SaaS subscription</x:t>
        </x:is>
      </x:c>
      <x:c r="C110" s="3" t="inlineStr">
        <x:is>
          <x:t xml:space="preserve">Software</x:t>
        </x:is>
      </x:c>
      <x:c r="D110" s="3" t="inlineStr">
        <x:is>
          <x:t xml:space="preserve">Savings</x:t>
        </x:is>
      </x:c>
      <x:c r="E110" s="4" t="n">
        <x:v>-2347.37</x:v>
      </x:c>
      <x:c r="F110" s="5">
        <x:f>IF(E110&gt;=0,"Income","Expense")</x:f>
      </x:c>
      <x:c r="G110" s="6">
        <x:f>ABS(E110)</x:f>
      </x:c>
      <x:c r="H110" s="4">
        <x:f>ROUND(E110,2)</x:f>
      </x:c>
      <x:c r="I110" s="5">
        <x:f>MONTH(A110)</x:f>
      </x:c>
      <x:c r="J110" s="5">
        <x:f>YEAR(A110)</x:f>
      </x:c>
      <x:c r="K110" s="5">
        <x:f>WEEKNUM(A110,2)</x:f>
      </x:c>
      <x:c r="L110" s="5">
        <x:f>ISOWEEKNUM(A110)</x:f>
      </x:c>
      <x:c r="M110" s="5">
        <x:f>TRIM(CLEAN(B110))</x:f>
      </x:c>
      <x:c r="N110" s="5">
        <x:f>UPPER(M110)</x:f>
      </x:c>
      <x:c r="O110" s="5">
        <x:f>LOWER(M110)</x:f>
      </x:c>
      <x:c r="P110" s="3">
        <x:f>PROPER(M110)</x:f>
      </x:c>
      <x:c r="Q110" s="3">
        <x:f>LEN(M110)</x:f>
      </x:c>
      <x:c r="R110" s="3">
        <x:f>ISBLANK(B110)</x:f>
      </x:c>
      <x:c r="S110" s="3">
        <x:f>SIGN(E110)</x:f>
      </x:c>
      <x:c r="T110" s="3">
        <x:f>ISEVEN(ROW())</x:f>
      </x:c>
      <x:c r="U110" s="3">
        <x:f>ISODD(ROW())</x:f>
      </x:c>
    </x:row>
    <x:row r="111">
      <x:c r="A111" s="2" t="n">
        <x:v>45734</x:v>
      </x:c>
      <x:c r="B111" s="3" t="inlineStr">
        <x:is>
          <x:t xml:space="preserve">Ad spend</x:t>
        </x:is>
      </x:c>
      <x:c r="C111" s="3" t="inlineStr">
        <x:is>
          <x:t xml:space="preserve">Tax</x:t>
        </x:is>
      </x:c>
      <x:c r="D111" s="3" t="inlineStr">
        <x:is>
          <x:t xml:space="preserve">Savings</x:t>
        </x:is>
      </x:c>
      <x:c r="E111" s="4" t="n">
        <x:v>-940.85</x:v>
      </x:c>
      <x:c r="F111" s="5">
        <x:f>IF(E111&gt;=0,"Income","Expense")</x:f>
      </x:c>
      <x:c r="G111" s="6">
        <x:f>ABS(E111)</x:f>
      </x:c>
      <x:c r="H111" s="4">
        <x:f>ROUND(E111,2)</x:f>
      </x:c>
      <x:c r="I111" s="5">
        <x:f>MONTH(A111)</x:f>
      </x:c>
      <x:c r="J111" s="5">
        <x:f>YEAR(A111)</x:f>
      </x:c>
      <x:c r="K111" s="5">
        <x:f>WEEKNUM(A111,2)</x:f>
      </x:c>
      <x:c r="L111" s="5">
        <x:f>ISOWEEKNUM(A111)</x:f>
      </x:c>
      <x:c r="M111" s="5">
        <x:f>TRIM(CLEAN(B111))</x:f>
      </x:c>
      <x:c r="N111" s="5">
        <x:f>UPPER(M111)</x:f>
      </x:c>
      <x:c r="O111" s="5">
        <x:f>LOWER(M111)</x:f>
      </x:c>
      <x:c r="P111" s="3">
        <x:f>PROPER(M111)</x:f>
      </x:c>
      <x:c r="Q111" s="3">
        <x:f>LEN(M111)</x:f>
      </x:c>
      <x:c r="R111" s="3">
        <x:f>ISBLANK(B111)</x:f>
      </x:c>
      <x:c r="S111" s="3">
        <x:f>SIGN(E111)</x:f>
      </x:c>
      <x:c r="T111" s="3">
        <x:f>ISEVEN(ROW())</x:f>
      </x:c>
      <x:c r="U111" s="3">
        <x:f>ISODD(ROW())</x:f>
      </x:c>
    </x:row>
    <x:row r="112">
      <x:c r="A112" s="2" t="n">
        <x:v>45754</x:v>
      </x:c>
      <x:c r="B112" s="3" t="inlineStr">
        <x:is>
          <x:t xml:space="preserve">Policy premium  </x:t>
        </x:is>
      </x:c>
      <x:c r="C112" s="3" t="inlineStr">
        <x:is>
          <x:t xml:space="preserve">Travel</x:t>
        </x:is>
      </x:c>
      <x:c r="D112" s="3" t="inlineStr">
        <x:is>
          <x:t xml:space="preserve">Credit Card</x:t>
        </x:is>
      </x:c>
      <x:c r="E112" s="4" t="n">
        <x:v>-665.47</x:v>
      </x:c>
      <x:c r="F112" s="5">
        <x:f>IF(E112&gt;=0,"Income","Expense")</x:f>
      </x:c>
      <x:c r="G112" s="6">
        <x:f>ABS(E112)</x:f>
      </x:c>
      <x:c r="H112" s="4">
        <x:f>ROUND(E112,2)</x:f>
      </x:c>
      <x:c r="I112" s="5">
        <x:f>MONTH(A112)</x:f>
      </x:c>
      <x:c r="J112" s="5">
        <x:f>YEAR(A112)</x:f>
      </x:c>
      <x:c r="K112" s="5">
        <x:f>WEEKNUM(A112,2)</x:f>
      </x:c>
      <x:c r="L112" s="5">
        <x:f>ISOWEEKNUM(A112)</x:f>
      </x:c>
      <x:c r="M112" s="5">
        <x:f>TRIM(CLEAN(B112))</x:f>
      </x:c>
      <x:c r="N112" s="5">
        <x:f>UPPER(M112)</x:f>
      </x:c>
      <x:c r="O112" s="5">
        <x:f>LOWER(M112)</x:f>
      </x:c>
      <x:c r="P112" s="3">
        <x:f>PROPER(M112)</x:f>
      </x:c>
      <x:c r="Q112" s="3">
        <x:f>LEN(M112)</x:f>
      </x:c>
      <x:c r="R112" s="3">
        <x:f>ISBLANK(B112)</x:f>
      </x:c>
      <x:c r="S112" s="3">
        <x:f>SIGN(E112)</x:f>
      </x:c>
      <x:c r="T112" s="3">
        <x:f>ISEVEN(ROW())</x:f>
      </x:c>
      <x:c r="U112" s="3">
        <x:f>ISODD(ROW())</x:f>
      </x:c>
    </x:row>
    <x:row r="113">
      <x:c r="A113" s="2" t="n">
        <x:v>46019</x:v>
      </x:c>
      <x:c r="B113" s="3" t="inlineStr">
        <x:is>
          <x:t xml:space="preserve">Policy premium</x:t>
        </x:is>
      </x:c>
      <x:c r="C113" s="3" t="inlineStr">
        <x:is>
          <x:t xml:space="preserve">Insurance</x:t>
        </x:is>
      </x:c>
      <x:c r="D113" s="3" t="inlineStr">
        <x:is>
          <x:t xml:space="preserve">Savings</x:t>
        </x:is>
      </x:c>
      <x:c r="E113" s="4" t="n">
        <x:v>-2767.73</x:v>
      </x:c>
      <x:c r="F113" s="5">
        <x:f>IF(E113&gt;=0,"Income","Expense")</x:f>
      </x:c>
      <x:c r="G113" s="6">
        <x:f>ABS(E113)</x:f>
      </x:c>
      <x:c r="H113" s="4">
        <x:f>ROUND(E113,2)</x:f>
      </x:c>
      <x:c r="I113" s="5">
        <x:f>MONTH(A113)</x:f>
      </x:c>
      <x:c r="J113" s="5">
        <x:f>YEAR(A113)</x:f>
      </x:c>
      <x:c r="K113" s="5">
        <x:f>WEEKNUM(A113,2)</x:f>
      </x:c>
      <x:c r="L113" s="5">
        <x:f>ISOWEEKNUM(A113)</x:f>
      </x:c>
      <x:c r="M113" s="5">
        <x:f>TRIM(CLEAN(B113))</x:f>
      </x:c>
      <x:c r="N113" s="5">
        <x:f>UPPER(M113)</x:f>
      </x:c>
      <x:c r="O113" s="5">
        <x:f>LOWER(M113)</x:f>
      </x:c>
      <x:c r="P113" s="3">
        <x:f>PROPER(M113)</x:f>
      </x:c>
      <x:c r="Q113" s="3">
        <x:f>LEN(M113)</x:f>
      </x:c>
      <x:c r="R113" s="3">
        <x:f>ISBLANK(B113)</x:f>
      </x:c>
      <x:c r="S113" s="3">
        <x:f>SIGN(E113)</x:f>
      </x:c>
      <x:c r="T113" s="3">
        <x:f>ISEVEN(ROW())</x:f>
      </x:c>
      <x:c r="U113" s="3">
        <x:f>ISODD(ROW())</x:f>
      </x:c>
    </x:row>
    <x:row r="114">
      <x:c r="A114" s="2" t="n">
        <x:v>45676</x:v>
      </x:c>
      <x:c r="B114" s="3" t="inlineStr">
        <x:is>
          <x:t xml:space="preserve">Monthly salary  </x:t>
        </x:is>
      </x:c>
      <x:c r="C114" s="3" t="inlineStr">
        <x:is>
          <x:t xml:space="preserve">Interest</x:t>
        </x:is>
      </x:c>
      <x:c r="D114" s="3" t="inlineStr">
        <x:is>
          <x:t xml:space="preserve">Savings</x:t>
        </x:is>
      </x:c>
      <x:c r="E114" s="4" t="n">
        <x:v>5745.14</x:v>
      </x:c>
      <x:c r="F114" s="5">
        <x:f>IF(E114&gt;=0,"Income","Expense")</x:f>
      </x:c>
      <x:c r="G114" s="6">
        <x:f>ABS(E114)</x:f>
      </x:c>
      <x:c r="H114" s="4">
        <x:f>ROUND(E114,2)</x:f>
      </x:c>
      <x:c r="I114" s="5">
        <x:f>MONTH(A114)</x:f>
      </x:c>
      <x:c r="J114" s="5">
        <x:f>YEAR(A114)</x:f>
      </x:c>
      <x:c r="K114" s="5">
        <x:f>WEEKNUM(A114,2)</x:f>
      </x:c>
      <x:c r="L114" s="5">
        <x:f>ISOWEEKNUM(A114)</x:f>
      </x:c>
      <x:c r="M114" s="5">
        <x:f>TRIM(CLEAN(B114))</x:f>
      </x:c>
      <x:c r="N114" s="5">
        <x:f>UPPER(M114)</x:f>
      </x:c>
      <x:c r="O114" s="5">
        <x:f>LOWER(M114)</x:f>
      </x:c>
      <x:c r="P114" s="3">
        <x:f>PROPER(M114)</x:f>
      </x:c>
      <x:c r="Q114" s="3">
        <x:f>LEN(M114)</x:f>
      </x:c>
      <x:c r="R114" s="3">
        <x:f>ISBLANK(B114)</x:f>
      </x:c>
      <x:c r="S114" s="3">
        <x:f>SIGN(E114)</x:f>
      </x:c>
      <x:c r="T114" s="3">
        <x:f>ISEVEN(ROW())</x:f>
      </x:c>
      <x:c r="U114" s="3">
        <x:f>ISODD(ROW())</x:f>
      </x:c>
    </x:row>
    <x:row r="115">
      <x:c r="A115" s="2" t="n">
        <x:v>45665</x:v>
      </x:c>
      <x:c r="B115" s="3" t="inlineStr">
        <x:is>
          <x:t xml:space="preserve">Electric bill</x:t>
        </x:is>
      </x:c>
      <x:c r="C115" s="3" t="inlineStr">
        <x:is>
          <x:t xml:space="preserve">Insurance</x:t>
        </x:is>
      </x:c>
      <x:c r="D115" s="3" t="inlineStr">
        <x:is>
          <x:t xml:space="preserve">Credit Card</x:t>
        </x:is>
      </x:c>
      <x:c r="E115" s="4" t="n">
        <x:v>-223.4</x:v>
      </x:c>
      <x:c r="F115" s="5">
        <x:f>IF(E115&gt;=0,"Income","Expense")</x:f>
      </x:c>
      <x:c r="G115" s="6">
        <x:f>ABS(E115)</x:f>
      </x:c>
      <x:c r="H115" s="4">
        <x:f>ROUND(E115,2)</x:f>
      </x:c>
      <x:c r="I115" s="5">
        <x:f>MONTH(A115)</x:f>
      </x:c>
      <x:c r="J115" s="5">
        <x:f>YEAR(A115)</x:f>
      </x:c>
      <x:c r="K115" s="5">
        <x:f>WEEKNUM(A115,2)</x:f>
      </x:c>
      <x:c r="L115" s="5">
        <x:f>ISOWEEKNUM(A115)</x:f>
      </x:c>
      <x:c r="M115" s="5">
        <x:f>TRIM(CLEAN(B115))</x:f>
      </x:c>
      <x:c r="N115" s="5">
        <x:f>UPPER(M115)</x:f>
      </x:c>
      <x:c r="O115" s="5">
        <x:f>LOWER(M115)</x:f>
      </x:c>
      <x:c r="P115" s="3">
        <x:f>PROPER(M115)</x:f>
      </x:c>
      <x:c r="Q115" s="3">
        <x:f>LEN(M115)</x:f>
      </x:c>
      <x:c r="R115" s="3">
        <x:f>ISBLANK(B115)</x:f>
      </x:c>
      <x:c r="S115" s="3">
        <x:f>SIGN(E115)</x:f>
      </x:c>
      <x:c r="T115" s="3">
        <x:f>ISEVEN(ROW())</x:f>
      </x:c>
      <x:c r="U115" s="3">
        <x:f>ISODD(ROW())</x:f>
      </x:c>
    </x:row>
    <x:row r="116">
      <x:c r="A116" s="2" t="n">
        <x:v>45990</x:v>
      </x:c>
      <x:c r="B116" s="3" t="inlineStr">
        <x:is>
          <x:t xml:space="preserve">Tax refund
</x:t>
        </x:is>
      </x:c>
      <x:c r="C116" s="3" t="inlineStr">
        <x:is>
          <x:t xml:space="preserve">Interest</x:t>
        </x:is>
      </x:c>
      <x:c r="D116" s="3" t="inlineStr">
        <x:is>
          <x:t xml:space="preserve">Savings</x:t>
        </x:is>
      </x:c>
      <x:c r="E116" s="4" t="n">
        <x:v>6224.84</x:v>
      </x:c>
      <x:c r="F116" s="5">
        <x:f>IF(E116&gt;=0,"Income","Expense")</x:f>
      </x:c>
      <x:c r="G116" s="6">
        <x:f>ABS(E116)</x:f>
      </x:c>
      <x:c r="H116" s="4">
        <x:f>ROUND(E116,2)</x:f>
      </x:c>
      <x:c r="I116" s="5">
        <x:f>MONTH(A116)</x:f>
      </x:c>
      <x:c r="J116" s="5">
        <x:f>YEAR(A116)</x:f>
      </x:c>
      <x:c r="K116" s="5">
        <x:f>WEEKNUM(A116,2)</x:f>
      </x:c>
      <x:c r="L116" s="5">
        <x:f>ISOWEEKNUM(A116)</x:f>
      </x:c>
      <x:c r="M116" s="5">
        <x:f>TRIM(CLEAN(B116))</x:f>
      </x:c>
      <x:c r="N116" s="5">
        <x:f>UPPER(M116)</x:f>
      </x:c>
      <x:c r="O116" s="5">
        <x:f>LOWER(M116)</x:f>
      </x:c>
      <x:c r="P116" s="3">
        <x:f>PROPER(M116)</x:f>
      </x:c>
      <x:c r="Q116" s="3">
        <x:f>LEN(M116)</x:f>
      </x:c>
      <x:c r="R116" s="3">
        <x:f>ISBLANK(B116)</x:f>
      </x:c>
      <x:c r="S116" s="3">
        <x:f>SIGN(E116)</x:f>
      </x:c>
      <x:c r="T116" s="3">
        <x:f>ISEVEN(ROW())</x:f>
      </x:c>
      <x:c r="U116" s="3">
        <x:f>ISODD(ROW())</x:f>
      </x:c>
    </x:row>
    <x:row r="117">
      <x:c r="A117" s="2" t="n">
        <x:v>45693</x:v>
      </x:c>
      <x:c r="B117" s="3" t="inlineStr">
        <x:is>
          <x:t xml:space="preserve">Client invoice</x:t>
        </x:is>
      </x:c>
      <x:c r="C117" s="3" t="inlineStr">
        <x:is>
          <x:t xml:space="preserve">Interest</x:t>
        </x:is>
      </x:c>
      <x:c r="D117" s="3" t="inlineStr">
        <x:is>
          <x:t xml:space="preserve">Savings</x:t>
        </x:is>
      </x:c>
      <x:c r="E117" s="4" t="n">
        <x:v>4980.6</x:v>
      </x:c>
      <x:c r="F117" s="5">
        <x:f>IF(E117&gt;=0,"Income","Expense")</x:f>
      </x:c>
      <x:c r="G117" s="6">
        <x:f>ABS(E117)</x:f>
      </x:c>
      <x:c r="H117" s="4">
        <x:f>ROUND(E117,2)</x:f>
      </x:c>
      <x:c r="I117" s="5">
        <x:f>MONTH(A117)</x:f>
      </x:c>
      <x:c r="J117" s="5">
        <x:f>YEAR(A117)</x:f>
      </x:c>
      <x:c r="K117" s="5">
        <x:f>WEEKNUM(A117,2)</x:f>
      </x:c>
      <x:c r="L117" s="5">
        <x:f>ISOWEEKNUM(A117)</x:f>
      </x:c>
      <x:c r="M117" s="5">
        <x:f>TRIM(CLEAN(B117))</x:f>
      </x:c>
      <x:c r="N117" s="5">
        <x:f>UPPER(M117)</x:f>
      </x:c>
      <x:c r="O117" s="5">
        <x:f>LOWER(M117)</x:f>
      </x:c>
      <x:c r="P117" s="3">
        <x:f>PROPER(M117)</x:f>
      </x:c>
      <x:c r="Q117" s="3">
        <x:f>LEN(M117)</x:f>
      </x:c>
      <x:c r="R117" s="3">
        <x:f>ISBLANK(B117)</x:f>
      </x:c>
      <x:c r="S117" s="3">
        <x:f>SIGN(E117)</x:f>
      </x:c>
      <x:c r="T117" s="3">
        <x:f>ISEVEN(ROW())</x:f>
      </x:c>
      <x:c r="U117" s="3">
        <x:f>ISODD(ROW())</x:f>
      </x:c>
    </x:row>
    <x:row r="118">
      <x:c r="A118" s="2" t="n">
        <x:v>46018</x:v>
      </x:c>
      <x:c r="B118" s="3" t="inlineStr">
        <x:is>
          <x:t xml:space="preserve">Electric bill  </x:t>
        </x:is>
      </x:c>
      <x:c r="C118" s="3" t="inlineStr">
        <x:is>
          <x:t xml:space="preserve">Tax</x:t>
        </x:is>
      </x:c>
      <x:c r="D118" s="3" t="inlineStr">
        <x:is>
          <x:t xml:space="preserve">Checking</x:t>
        </x:is>
      </x:c>
      <x:c r="E118" s="4" t="n">
        <x:v>-1947.79</x:v>
      </x:c>
      <x:c r="F118" s="5">
        <x:f>IF(E118&gt;=0,"Income","Expense")</x:f>
      </x:c>
      <x:c r="G118" s="6">
        <x:f>ABS(E118)</x:f>
      </x:c>
      <x:c r="H118" s="4">
        <x:f>ROUND(E118,2)</x:f>
      </x:c>
      <x:c r="I118" s="5">
        <x:f>MONTH(A118)</x:f>
      </x:c>
      <x:c r="J118" s="5">
        <x:f>YEAR(A118)</x:f>
      </x:c>
      <x:c r="K118" s="5">
        <x:f>WEEKNUM(A118,2)</x:f>
      </x:c>
      <x:c r="L118" s="5">
        <x:f>ISOWEEKNUM(A118)</x:f>
      </x:c>
      <x:c r="M118" s="5">
        <x:f>TRIM(CLEAN(B118))</x:f>
      </x:c>
      <x:c r="N118" s="5">
        <x:f>UPPER(M118)</x:f>
      </x:c>
      <x:c r="O118" s="5">
        <x:f>LOWER(M118)</x:f>
      </x:c>
      <x:c r="P118" s="3">
        <x:f>PROPER(M118)</x:f>
      </x:c>
      <x:c r="Q118" s="3">
        <x:f>LEN(M118)</x:f>
      </x:c>
      <x:c r="R118" s="3">
        <x:f>ISBLANK(B118)</x:f>
      </x:c>
      <x:c r="S118" s="3">
        <x:f>SIGN(E118)</x:f>
      </x:c>
      <x:c r="T118" s="3">
        <x:f>ISEVEN(ROW())</x:f>
      </x:c>
      <x:c r="U118" s="3">
        <x:f>ISODD(ROW())</x:f>
      </x:c>
    </x:row>
    <x:row r="119">
      <x:c r="A119" s="2" t="n">
        <x:v>45808</x:v>
      </x:c>
      <x:c r="B119" s="3" t="inlineStr">
        <x:is>
          <x:t xml:space="preserve">Electric bill</x:t>
        </x:is>
      </x:c>
      <x:c r="C119" s="3" t="inlineStr">
        <x:is>
          <x:t xml:space="preserve">Insurance</x:t>
        </x:is>
      </x:c>
      <x:c r="D119" s="3" t="inlineStr">
        <x:is>
          <x:t xml:space="preserve">Credit Card</x:t>
        </x:is>
      </x:c>
      <x:c r="E119" s="4" t="n">
        <x:v>-695.09</x:v>
      </x:c>
      <x:c r="F119" s="5">
        <x:f>IF(E119&gt;=0,"Income","Expense")</x:f>
      </x:c>
      <x:c r="G119" s="6">
        <x:f>ABS(E119)</x:f>
      </x:c>
      <x:c r="H119" s="4">
        <x:f>ROUND(E119,2)</x:f>
      </x:c>
      <x:c r="I119" s="5">
        <x:f>MONTH(A119)</x:f>
      </x:c>
      <x:c r="J119" s="5">
        <x:f>YEAR(A119)</x:f>
      </x:c>
      <x:c r="K119" s="5">
        <x:f>WEEKNUM(A119,2)</x:f>
      </x:c>
      <x:c r="L119" s="5">
        <x:f>ISOWEEKNUM(A119)</x:f>
      </x:c>
      <x:c r="M119" s="5">
        <x:f>TRIM(CLEAN(B119))</x:f>
      </x:c>
      <x:c r="N119" s="5">
        <x:f>UPPER(M119)</x:f>
      </x:c>
      <x:c r="O119" s="5">
        <x:f>LOWER(M119)</x:f>
      </x:c>
      <x:c r="P119" s="3">
        <x:f>PROPER(M119)</x:f>
      </x:c>
      <x:c r="Q119" s="3">
        <x:f>LEN(M119)</x:f>
      </x:c>
      <x:c r="R119" s="3">
        <x:f>ISBLANK(B119)</x:f>
      </x:c>
      <x:c r="S119" s="3">
        <x:f>SIGN(E119)</x:f>
      </x:c>
      <x:c r="T119" s="3">
        <x:f>ISEVEN(ROW())</x:f>
      </x:c>
      <x:c r="U119" s="3">
        <x:f>ISODD(ROW())</x:f>
      </x:c>
    </x:row>
    <x:row r="120">
      <x:c r="A120" s="2" t="n">
        <x:v>45745</x:v>
      </x:c>
      <x:c r="B120" s="3" t="inlineStr">
        <x:is>
          <x:t xml:space="preserve">Client invoice</x:t>
        </x:is>
      </x:c>
      <x:c r="C120" s="3" t="inlineStr">
        <x:is>
          <x:t xml:space="preserve">Refund</x:t>
        </x:is>
      </x:c>
      <x:c r="D120" s="3" t="inlineStr">
        <x:is>
          <x:t xml:space="preserve">Checking</x:t>
        </x:is>
      </x:c>
      <x:c r="E120" s="4" t="n">
        <x:v>3486</x:v>
      </x:c>
      <x:c r="F120" s="5">
        <x:f>IF(E120&gt;=0,"Income","Expense")</x:f>
      </x:c>
      <x:c r="G120" s="6">
        <x:f>ABS(E120)</x:f>
      </x:c>
      <x:c r="H120" s="4">
        <x:f>ROUND(E120,2)</x:f>
      </x:c>
      <x:c r="I120" s="5">
        <x:f>MONTH(A120)</x:f>
      </x:c>
      <x:c r="J120" s="5">
        <x:f>YEAR(A120)</x:f>
      </x:c>
      <x:c r="K120" s="5">
        <x:f>WEEKNUM(A120,2)</x:f>
      </x:c>
      <x:c r="L120" s="5">
        <x:f>ISOWEEKNUM(A120)</x:f>
      </x:c>
      <x:c r="M120" s="5">
        <x:f>TRIM(CLEAN(B120))</x:f>
      </x:c>
      <x:c r="N120" s="5">
        <x:f>UPPER(M120)</x:f>
      </x:c>
      <x:c r="O120" s="5">
        <x:f>LOWER(M120)</x:f>
      </x:c>
      <x:c r="P120" s="3">
        <x:f>PROPER(M120)</x:f>
      </x:c>
      <x:c r="Q120" s="3">
        <x:f>LEN(M120)</x:f>
      </x:c>
      <x:c r="R120" s="3">
        <x:f>ISBLANK(B120)</x:f>
      </x:c>
      <x:c r="S120" s="3">
        <x:f>SIGN(E120)</x:f>
      </x:c>
      <x:c r="T120" s="3">
        <x:f>ISEVEN(ROW())</x:f>
      </x:c>
      <x:c r="U120" s="3">
        <x:f>ISODD(ROW())</x:f>
      </x:c>
    </x:row>
    <x:row r="121">
      <x:c r="A121" s="2" t="n">
        <x:v>45893</x:v>
      </x:c>
      <x:c r="B121" s="3" t="inlineStr">
        <x:is>
          <x:t xml:space="preserve">Tax refund  </x:t>
        </x:is>
      </x:c>
      <x:c r="C121" s="3" t="inlineStr">
        <x:is>
          <x:t xml:space="preserve">Salary</x:t>
        </x:is>
      </x:c>
      <x:c r="D121" s="3" t="inlineStr">
        <x:is>
          <x:t xml:space="preserve">Checking</x:t>
        </x:is>
      </x:c>
      <x:c r="E121" s="4" t="n">
        <x:v>5907.26</x:v>
      </x:c>
      <x:c r="F121" s="5">
        <x:f>IF(E121&gt;=0,"Income","Expense")</x:f>
      </x:c>
      <x:c r="G121" s="6">
        <x:f>ABS(E121)</x:f>
      </x:c>
      <x:c r="H121" s="4">
        <x:f>ROUND(E121,2)</x:f>
      </x:c>
      <x:c r="I121" s="5">
        <x:f>MONTH(A121)</x:f>
      </x:c>
      <x:c r="J121" s="5">
        <x:f>YEAR(A121)</x:f>
      </x:c>
      <x:c r="K121" s="5">
        <x:f>WEEKNUM(A121,2)</x:f>
      </x:c>
      <x:c r="L121" s="5">
        <x:f>ISOWEEKNUM(A121)</x:f>
      </x:c>
      <x:c r="M121" s="5">
        <x:f>TRIM(CLEAN(B121))</x:f>
      </x:c>
      <x:c r="N121" s="5">
        <x:f>UPPER(M121)</x:f>
      </x:c>
      <x:c r="O121" s="5">
        <x:f>LOWER(M121)</x:f>
      </x:c>
      <x:c r="P121" s="3">
        <x:f>PROPER(M121)</x:f>
      </x:c>
      <x:c r="Q121" s="3">
        <x:f>LEN(M121)</x:f>
      </x:c>
      <x:c r="R121" s="3">
        <x:f>ISBLANK(B121)</x:f>
      </x:c>
      <x:c r="S121" s="3">
        <x:f>SIGN(E121)</x:f>
      </x:c>
      <x:c r="T121" s="3">
        <x:f>ISEVEN(ROW())</x:f>
      </x:c>
      <x:c r="U121" s="3">
        <x:f>ISODD(ROW())</x:f>
      </x:c>
    </x:row>
    <x:row r="122">
      <x:c r="A122" s="2" t="n">
        <x:v>45958</x:v>
      </x:c>
      <x:c r="B122" s="3" t="inlineStr">
        <x:is>
          <x:t xml:space="preserve">SaaS subscription  </x:t>
        </x:is>
      </x:c>
      <x:c r="C122" s="3" t="inlineStr">
        <x:is>
          <x:t xml:space="preserve">Insurance</x:t>
        </x:is>
      </x:c>
      <x:c r="D122" s="3" t="inlineStr">
        <x:is>
          <x:t xml:space="preserve">Credit Card</x:t>
        </x:is>
      </x:c>
      <x:c r="E122" s="4" t="n">
        <x:v>-1287.29</x:v>
      </x:c>
      <x:c r="F122" s="5">
        <x:f>IF(E122&gt;=0,"Income","Expense")</x:f>
      </x:c>
      <x:c r="G122" s="6">
        <x:f>ABS(E122)</x:f>
      </x:c>
      <x:c r="H122" s="4">
        <x:f>ROUND(E122,2)</x:f>
      </x:c>
      <x:c r="I122" s="5">
        <x:f>MONTH(A122)</x:f>
      </x:c>
      <x:c r="J122" s="5">
        <x:f>YEAR(A122)</x:f>
      </x:c>
      <x:c r="K122" s="5">
        <x:f>WEEKNUM(A122,2)</x:f>
      </x:c>
      <x:c r="L122" s="5">
        <x:f>ISOWEEKNUM(A122)</x:f>
      </x:c>
      <x:c r="M122" s="5">
        <x:f>TRIM(CLEAN(B122))</x:f>
      </x:c>
      <x:c r="N122" s="5">
        <x:f>UPPER(M122)</x:f>
      </x:c>
      <x:c r="O122" s="5">
        <x:f>LOWER(M122)</x:f>
      </x:c>
      <x:c r="P122" s="3">
        <x:f>PROPER(M122)</x:f>
      </x:c>
      <x:c r="Q122" s="3">
        <x:f>LEN(M122)</x:f>
      </x:c>
      <x:c r="R122" s="3">
        <x:f>ISBLANK(B122)</x:f>
      </x:c>
      <x:c r="S122" s="3">
        <x:f>SIGN(E122)</x:f>
      </x:c>
      <x:c r="T122" s="3">
        <x:f>ISEVEN(ROW())</x:f>
      </x:c>
      <x:c r="U122" s="3">
        <x:f>ISODD(ROW())</x:f>
      </x:c>
    </x:row>
    <x:row r="123">
      <x:c r="A123" s="2" t="n">
        <x:v>45905</x:v>
      </x:c>
      <x:c r="B123" s="3" t="inlineStr">
        <x:is>
          <x:t xml:space="preserve">Bank interest  </x:t>
        </x:is>
      </x:c>
      <x:c r="C123" s="3" t="inlineStr">
        <x:is>
          <x:t xml:space="preserve">Refund</x:t>
        </x:is>
      </x:c>
      <x:c r="D123" s="3" t="inlineStr">
        <x:is>
          <x:t xml:space="preserve">Savings</x:t>
        </x:is>
      </x:c>
      <x:c r="E123" s="4" t="n">
        <x:v>3948.87</x:v>
      </x:c>
      <x:c r="F123" s="5">
        <x:f>IF(E123&gt;=0,"Income","Expense")</x:f>
      </x:c>
      <x:c r="G123" s="6">
        <x:f>ABS(E123)</x:f>
      </x:c>
      <x:c r="H123" s="4">
        <x:f>ROUND(E123,2)</x:f>
      </x:c>
      <x:c r="I123" s="5">
        <x:f>MONTH(A123)</x:f>
      </x:c>
      <x:c r="J123" s="5">
        <x:f>YEAR(A123)</x:f>
      </x:c>
      <x:c r="K123" s="5">
        <x:f>WEEKNUM(A123,2)</x:f>
      </x:c>
      <x:c r="L123" s="5">
        <x:f>ISOWEEKNUM(A123)</x:f>
      </x:c>
      <x:c r="M123" s="5">
        <x:f>TRIM(CLEAN(B123))</x:f>
      </x:c>
      <x:c r="N123" s="5">
        <x:f>UPPER(M123)</x:f>
      </x:c>
      <x:c r="O123" s="5">
        <x:f>LOWER(M123)</x:f>
      </x:c>
      <x:c r="P123" s="3">
        <x:f>PROPER(M123)</x:f>
      </x:c>
      <x:c r="Q123" s="3">
        <x:f>LEN(M123)</x:f>
      </x:c>
      <x:c r="R123" s="3">
        <x:f>ISBLANK(B123)</x:f>
      </x:c>
      <x:c r="S123" s="3">
        <x:f>SIGN(E123)</x:f>
      </x:c>
      <x:c r="T123" s="3">
        <x:f>ISEVEN(ROW())</x:f>
      </x:c>
      <x:c r="U123" s="3">
        <x:f>ISODD(ROW())</x:f>
      </x:c>
    </x:row>
    <x:row r="124">
      <x:c r="A124" s="2" t="n">
        <x:v>45860</x:v>
      </x:c>
      <x:c r="B124" s="3" t="inlineStr">
        <x:is>
          <x:t xml:space="preserve">Tax refund</x:t>
        </x:is>
      </x:c>
      <x:c r="C124" s="3" t="inlineStr">
        <x:is>
          <x:t xml:space="preserve">Salary</x:t>
        </x:is>
      </x:c>
      <x:c r="D124" s="3" t="inlineStr">
        <x:is>
          <x:t xml:space="preserve">Savings</x:t>
        </x:is>
      </x:c>
      <x:c r="E124" s="4" t="n">
        <x:v>5497.03</x:v>
      </x:c>
      <x:c r="F124" s="5">
        <x:f>IF(E124&gt;=0,"Income","Expense")</x:f>
      </x:c>
      <x:c r="G124" s="6">
        <x:f>ABS(E124)</x:f>
      </x:c>
      <x:c r="H124" s="4">
        <x:f>ROUND(E124,2)</x:f>
      </x:c>
      <x:c r="I124" s="5">
        <x:f>MONTH(A124)</x:f>
      </x:c>
      <x:c r="J124" s="5">
        <x:f>YEAR(A124)</x:f>
      </x:c>
      <x:c r="K124" s="5">
        <x:f>WEEKNUM(A124,2)</x:f>
      </x:c>
      <x:c r="L124" s="5">
        <x:f>ISOWEEKNUM(A124)</x:f>
      </x:c>
      <x:c r="M124" s="5">
        <x:f>TRIM(CLEAN(B124))</x:f>
      </x:c>
      <x:c r="N124" s="5">
        <x:f>UPPER(M124)</x:f>
      </x:c>
      <x:c r="O124" s="5">
        <x:f>LOWER(M124)</x:f>
      </x:c>
      <x:c r="P124" s="3">
        <x:f>PROPER(M124)</x:f>
      </x:c>
      <x:c r="Q124" s="3">
        <x:f>LEN(M124)</x:f>
      </x:c>
      <x:c r="R124" s="3">
        <x:f>ISBLANK(B124)</x:f>
      </x:c>
      <x:c r="S124" s="3">
        <x:f>SIGN(E124)</x:f>
      </x:c>
      <x:c r="T124" s="3">
        <x:f>ISEVEN(ROW())</x:f>
      </x:c>
      <x:c r="U124" s="3">
        <x:f>ISODD(ROW())</x:f>
      </x:c>
    </x:row>
    <x:row r="125">
      <x:c r="A125" s="2" t="n">
        <x:v>45838</x:v>
      </x:c>
      <x:c r="B125" s="3" t="inlineStr">
        <x:is>
          <x:t xml:space="preserve">Bank interest</x:t>
        </x:is>
      </x:c>
      <x:c r="C125" s="3" t="inlineStr">
        <x:is>
          <x:t xml:space="preserve">Consulting</x:t>
        </x:is>
      </x:c>
      <x:c r="D125" s="3" t="inlineStr">
        <x:is>
          <x:t xml:space="preserve">Checking</x:t>
        </x:is>
      </x:c>
      <x:c r="E125" s="4" t="n">
        <x:v>4566.59</x:v>
      </x:c>
      <x:c r="F125" s="5">
        <x:f>IF(E125&gt;=0,"Income","Expense")</x:f>
      </x:c>
      <x:c r="G125" s="6">
        <x:f>ABS(E125)</x:f>
      </x:c>
      <x:c r="H125" s="4">
        <x:f>ROUND(E125,2)</x:f>
      </x:c>
      <x:c r="I125" s="5">
        <x:f>MONTH(A125)</x:f>
      </x:c>
      <x:c r="J125" s="5">
        <x:f>YEAR(A125)</x:f>
      </x:c>
      <x:c r="K125" s="5">
        <x:f>WEEKNUM(A125,2)</x:f>
      </x:c>
      <x:c r="L125" s="5">
        <x:f>ISOWEEKNUM(A125)</x:f>
      </x:c>
      <x:c r="M125" s="5">
        <x:f>TRIM(CLEAN(B125))</x:f>
      </x:c>
      <x:c r="N125" s="5">
        <x:f>UPPER(M125)</x:f>
      </x:c>
      <x:c r="O125" s="5">
        <x:f>LOWER(M125)</x:f>
      </x:c>
      <x:c r="P125" s="3">
        <x:f>PROPER(M125)</x:f>
      </x:c>
      <x:c r="Q125" s="3">
        <x:f>LEN(M125)</x:f>
      </x:c>
      <x:c r="R125" s="3">
        <x:f>ISBLANK(B125)</x:f>
      </x:c>
      <x:c r="S125" s="3">
        <x:f>SIGN(E125)</x:f>
      </x:c>
      <x:c r="T125" s="3">
        <x:f>ISEVEN(ROW())</x:f>
      </x:c>
      <x:c r="U125" s="3">
        <x:f>ISODD(ROW())</x:f>
      </x:c>
    </x:row>
    <x:row r="126">
      <x:c r="A126" s="2" t="n">
        <x:v>45988</x:v>
      </x:c>
      <x:c r="B126" s="3" t="inlineStr">
        <x:is>
          <x:t xml:space="preserve">Monthly salary  </x:t>
        </x:is>
      </x:c>
      <x:c r="C126" s="3" t="inlineStr">
        <x:is>
          <x:t xml:space="preserve">Refund</x:t>
        </x:is>
      </x:c>
      <x:c r="D126" s="3" t="inlineStr">
        <x:is>
          <x:t xml:space="preserve">Checking</x:t>
        </x:is>
      </x:c>
      <x:c r="E126" s="4" t="n">
        <x:v>3977.44</x:v>
      </x:c>
      <x:c r="F126" s="5">
        <x:f>IF(E126&gt;=0,"Income","Expense")</x:f>
      </x:c>
      <x:c r="G126" s="6">
        <x:f>ABS(E126)</x:f>
      </x:c>
      <x:c r="H126" s="4">
        <x:f>ROUND(E126,2)</x:f>
      </x:c>
      <x:c r="I126" s="5">
        <x:f>MONTH(A126)</x:f>
      </x:c>
      <x:c r="J126" s="5">
        <x:f>YEAR(A126)</x:f>
      </x:c>
      <x:c r="K126" s="5">
        <x:f>WEEKNUM(A126,2)</x:f>
      </x:c>
      <x:c r="L126" s="5">
        <x:f>ISOWEEKNUM(A126)</x:f>
      </x:c>
      <x:c r="M126" s="5">
        <x:f>TRIM(CLEAN(B126))</x:f>
      </x:c>
      <x:c r="N126" s="5">
        <x:f>UPPER(M126)</x:f>
      </x:c>
      <x:c r="O126" s="5">
        <x:f>LOWER(M126)</x:f>
      </x:c>
      <x:c r="P126" s="3">
        <x:f>PROPER(M126)</x:f>
      </x:c>
      <x:c r="Q126" s="3">
        <x:f>LEN(M126)</x:f>
      </x:c>
      <x:c r="R126" s="3">
        <x:f>ISBLANK(B126)</x:f>
      </x:c>
      <x:c r="S126" s="3">
        <x:f>SIGN(E126)</x:f>
      </x:c>
      <x:c r="T126" s="3">
        <x:f>ISEVEN(ROW())</x:f>
      </x:c>
      <x:c r="U126" s="3">
        <x:f>ISODD(ROW())</x:f>
      </x:c>
    </x:row>
    <x:row r="127">
      <x:c r="A127" s="2" t="n">
        <x:v>45870</x:v>
      </x:c>
      <x:c r="B127" s="3" t="inlineStr">
        <x:is>
          <x:t xml:space="preserve">Bank interest</x:t>
        </x:is>
      </x:c>
      <x:c r="C127" s="3" t="inlineStr">
        <x:is>
          <x:t xml:space="preserve">Consulting</x:t>
        </x:is>
      </x:c>
      <x:c r="D127" s="3" t="inlineStr">
        <x:is>
          <x:t xml:space="preserve">Savings</x:t>
        </x:is>
      </x:c>
      <x:c r="E127" s="4" t="n">
        <x:v>3685.11</x:v>
      </x:c>
      <x:c r="F127" s="5">
        <x:f>IF(E127&gt;=0,"Income","Expense")</x:f>
      </x:c>
      <x:c r="G127" s="6">
        <x:f>ABS(E127)</x:f>
      </x:c>
      <x:c r="H127" s="4">
        <x:f>ROUND(E127,2)</x:f>
      </x:c>
      <x:c r="I127" s="5">
        <x:f>MONTH(A127)</x:f>
      </x:c>
      <x:c r="J127" s="5">
        <x:f>YEAR(A127)</x:f>
      </x:c>
      <x:c r="K127" s="5">
        <x:f>WEEKNUM(A127,2)</x:f>
      </x:c>
      <x:c r="L127" s="5">
        <x:f>ISOWEEKNUM(A127)</x:f>
      </x:c>
      <x:c r="M127" s="5">
        <x:f>TRIM(CLEAN(B127))</x:f>
      </x:c>
      <x:c r="N127" s="5">
        <x:f>UPPER(M127)</x:f>
      </x:c>
      <x:c r="O127" s="5">
        <x:f>LOWER(M127)</x:f>
      </x:c>
      <x:c r="P127" s="3">
        <x:f>PROPER(M127)</x:f>
      </x:c>
      <x:c r="Q127" s="3">
        <x:f>LEN(M127)</x:f>
      </x:c>
      <x:c r="R127" s="3">
        <x:f>ISBLANK(B127)</x:f>
      </x:c>
      <x:c r="S127" s="3">
        <x:f>SIGN(E127)</x:f>
      </x:c>
      <x:c r="T127" s="3">
        <x:f>ISEVEN(ROW())</x:f>
      </x:c>
      <x:c r="U127" s="3">
        <x:f>ISODD(ROW())</x:f>
      </x:c>
    </x:row>
    <x:row r="128">
      <x:c r="A128" s="2" t="n">
        <x:v>45904</x:v>
      </x:c>
      <x:c r="B128" s="3" t="inlineStr">
        <x:is>
          <x:t xml:space="preserve">Ad spend</x:t>
        </x:is>
      </x:c>
      <x:c r="C128" s="3" t="inlineStr">
        <x:is>
          <x:t xml:space="preserve">Software</x:t>
        </x:is>
      </x:c>
      <x:c r="D128" s="3" t="inlineStr">
        <x:is>
          <x:t xml:space="preserve">Credit Card</x:t>
        </x:is>
      </x:c>
      <x:c r="E128" s="4" t="n">
        <x:v>-2254.79</x:v>
      </x:c>
      <x:c r="F128" s="5">
        <x:f>IF(E128&gt;=0,"Income","Expense")</x:f>
      </x:c>
      <x:c r="G128" s="6">
        <x:f>ABS(E128)</x:f>
      </x:c>
      <x:c r="H128" s="4">
        <x:f>ROUND(E128,2)</x:f>
      </x:c>
      <x:c r="I128" s="5">
        <x:f>MONTH(A128)</x:f>
      </x:c>
      <x:c r="J128" s="5">
        <x:f>YEAR(A128)</x:f>
      </x:c>
      <x:c r="K128" s="5">
        <x:f>WEEKNUM(A128,2)</x:f>
      </x:c>
      <x:c r="L128" s="5">
        <x:f>ISOWEEKNUM(A128)</x:f>
      </x:c>
      <x:c r="M128" s="5">
        <x:f>TRIM(CLEAN(B128))</x:f>
      </x:c>
      <x:c r="N128" s="5">
        <x:f>UPPER(M128)</x:f>
      </x:c>
      <x:c r="O128" s="5">
        <x:f>LOWER(M128)</x:f>
      </x:c>
      <x:c r="P128" s="3">
        <x:f>PROPER(M128)</x:f>
      </x:c>
      <x:c r="Q128" s="3">
        <x:f>LEN(M128)</x:f>
      </x:c>
      <x:c r="R128" s="3">
        <x:f>ISBLANK(B128)</x:f>
      </x:c>
      <x:c r="S128" s="3">
        <x:f>SIGN(E128)</x:f>
      </x:c>
      <x:c r="T128" s="3">
        <x:f>ISEVEN(ROW())</x:f>
      </x:c>
      <x:c r="U128" s="3">
        <x:f>ISODD(ROW())</x:f>
      </x:c>
    </x:row>
    <x:row r="129">
      <x:c r="A129" s="2" t="n">
        <x:v>45773</x:v>
      </x:c>
      <x:c r="B129" s="3" t="inlineStr">
        <x:is>
          <x:t xml:space="preserve">Ad spend  </x:t>
        </x:is>
      </x:c>
      <x:c r="C129" s="3" t="inlineStr">
        <x:is>
          <x:t xml:space="preserve">Insurance</x:t>
        </x:is>
      </x:c>
      <x:c r="D129" s="3" t="inlineStr">
        <x:is>
          <x:t xml:space="preserve">Credit Card</x:t>
        </x:is>
      </x:c>
      <x:c r="E129" s="4" t="n">
        <x:v>-266.49</x:v>
      </x:c>
      <x:c r="F129" s="5">
        <x:f>IF(E129&gt;=0,"Income","Expense")</x:f>
      </x:c>
      <x:c r="G129" s="6">
        <x:f>ABS(E129)</x:f>
      </x:c>
      <x:c r="H129" s="4">
        <x:f>ROUND(E129,2)</x:f>
      </x:c>
      <x:c r="I129" s="5">
        <x:f>MONTH(A129)</x:f>
      </x:c>
      <x:c r="J129" s="5">
        <x:f>YEAR(A129)</x:f>
      </x:c>
      <x:c r="K129" s="5">
        <x:f>WEEKNUM(A129,2)</x:f>
      </x:c>
      <x:c r="L129" s="5">
        <x:f>ISOWEEKNUM(A129)</x:f>
      </x:c>
      <x:c r="M129" s="5">
        <x:f>TRIM(CLEAN(B129))</x:f>
      </x:c>
      <x:c r="N129" s="5">
        <x:f>UPPER(M129)</x:f>
      </x:c>
      <x:c r="O129" s="5">
        <x:f>LOWER(M129)</x:f>
      </x:c>
      <x:c r="P129" s="3">
        <x:f>PROPER(M129)</x:f>
      </x:c>
      <x:c r="Q129" s="3">
        <x:f>LEN(M129)</x:f>
      </x:c>
      <x:c r="R129" s="3">
        <x:f>ISBLANK(B129)</x:f>
      </x:c>
      <x:c r="S129" s="3">
        <x:f>SIGN(E129)</x:f>
      </x:c>
      <x:c r="T129" s="3">
        <x:f>ISEVEN(ROW())</x:f>
      </x:c>
      <x:c r="U129" s="3">
        <x:f>ISODD(ROW())</x:f>
      </x:c>
    </x:row>
    <x:row r="130">
      <x:c r="A130" s="2" t="n">
        <x:v>45890</x:v>
      </x:c>
      <x:c r="B130" s="3" t="inlineStr">
        <x:is>
          <x:t xml:space="preserve">Policy premium  </x:t>
        </x:is>
      </x:c>
      <x:c r="C130" s="3" t="inlineStr">
        <x:is>
          <x:t xml:space="preserve">Software</x:t>
        </x:is>
      </x:c>
      <x:c r="D130" s="3" t="inlineStr">
        <x:is>
          <x:t xml:space="preserve">Credit Card</x:t>
        </x:is>
      </x:c>
      <x:c r="E130" s="4" t="n">
        <x:v>-2305.43</x:v>
      </x:c>
      <x:c r="F130" s="5">
        <x:f>IF(E130&gt;=0,"Income","Expense")</x:f>
      </x:c>
      <x:c r="G130" s="6">
        <x:f>ABS(E130)</x:f>
      </x:c>
      <x:c r="H130" s="4">
        <x:f>ROUND(E130,2)</x:f>
      </x:c>
      <x:c r="I130" s="5">
        <x:f>MONTH(A130)</x:f>
      </x:c>
      <x:c r="J130" s="5">
        <x:f>YEAR(A130)</x:f>
      </x:c>
      <x:c r="K130" s="5">
        <x:f>WEEKNUM(A130,2)</x:f>
      </x:c>
      <x:c r="L130" s="5">
        <x:f>ISOWEEKNUM(A130)</x:f>
      </x:c>
      <x:c r="M130" s="5">
        <x:f>TRIM(CLEAN(B130))</x:f>
      </x:c>
      <x:c r="N130" s="5">
        <x:f>UPPER(M130)</x:f>
      </x:c>
      <x:c r="O130" s="5">
        <x:f>LOWER(M130)</x:f>
      </x:c>
      <x:c r="P130" s="3">
        <x:f>PROPER(M130)</x:f>
      </x:c>
      <x:c r="Q130" s="3">
        <x:f>LEN(M130)</x:f>
      </x:c>
      <x:c r="R130" s="3">
        <x:f>ISBLANK(B130)</x:f>
      </x:c>
      <x:c r="S130" s="3">
        <x:f>SIGN(E130)</x:f>
      </x:c>
      <x:c r="T130" s="3">
        <x:f>ISEVEN(ROW())</x:f>
      </x:c>
      <x:c r="U130" s="3">
        <x:f>ISODD(ROW())</x:f>
      </x:c>
    </x:row>
    <x:row r="131">
      <x:c r="A131" s="2" t="n">
        <x:v>45670</x:v>
      </x:c>
      <x:c r="B131" s="3" t="inlineStr">
        <x:is>
          <x:t xml:space="preserve">Business trip</x:t>
        </x:is>
      </x:c>
      <x:c r="C131" s="3" t="inlineStr">
        <x:is>
          <x:t xml:space="preserve">Marketing</x:t>
        </x:is>
      </x:c>
      <x:c r="D131" s="3" t="inlineStr">
        <x:is>
          <x:t xml:space="preserve">Savings</x:t>
        </x:is>
      </x:c>
      <x:c r="E131" s="4" t="n">
        <x:v>-1818.71</x:v>
      </x:c>
      <x:c r="F131" s="5">
        <x:f>IF(E131&gt;=0,"Income","Expense")</x:f>
      </x:c>
      <x:c r="G131" s="6">
        <x:f>ABS(E131)</x:f>
      </x:c>
      <x:c r="H131" s="4">
        <x:f>ROUND(E131,2)</x:f>
      </x:c>
      <x:c r="I131" s="5">
        <x:f>MONTH(A131)</x:f>
      </x:c>
      <x:c r="J131" s="5">
        <x:f>YEAR(A131)</x:f>
      </x:c>
      <x:c r="K131" s="5">
        <x:f>WEEKNUM(A131,2)</x:f>
      </x:c>
      <x:c r="L131" s="5">
        <x:f>ISOWEEKNUM(A131)</x:f>
      </x:c>
      <x:c r="M131" s="5">
        <x:f>TRIM(CLEAN(B131))</x:f>
      </x:c>
      <x:c r="N131" s="5">
        <x:f>UPPER(M131)</x:f>
      </x:c>
      <x:c r="O131" s="5">
        <x:f>LOWER(M131)</x:f>
      </x:c>
      <x:c r="P131" s="3">
        <x:f>PROPER(M131)</x:f>
      </x:c>
      <x:c r="Q131" s="3">
        <x:f>LEN(M131)</x:f>
      </x:c>
      <x:c r="R131" s="3">
        <x:f>ISBLANK(B131)</x:f>
      </x:c>
      <x:c r="S131" s="3">
        <x:f>SIGN(E131)</x:f>
      </x:c>
      <x:c r="T131" s="3">
        <x:f>ISEVEN(ROW())</x:f>
      </x:c>
      <x:c r="U131" s="3">
        <x:f>ISODD(ROW())</x:f>
      </x:c>
    </x:row>
    <x:row r="132">
      <x:c r="A132" s="2" t="n">
        <x:v>45812</x:v>
      </x:c>
      <x:c r="B132" s="3" t="inlineStr">
        <x:is>
          <x:t xml:space="preserve">Electric bill</x:t>
        </x:is>
      </x:c>
      <x:c r="C132" s="3" t="inlineStr">
        <x:is>
          <x:t xml:space="preserve">Groceries</x:t>
        </x:is>
      </x:c>
      <x:c r="D132" s="3" t="inlineStr">
        <x:is>
          <x:t xml:space="preserve">Checking</x:t>
        </x:is>
      </x:c>
      <x:c r="E132" s="4" t="n">
        <x:v>-141.29</x:v>
      </x:c>
      <x:c r="F132" s="5">
        <x:f>IF(E132&gt;=0,"Income","Expense")</x:f>
      </x:c>
      <x:c r="G132" s="6">
        <x:f>ABS(E132)</x:f>
      </x:c>
      <x:c r="H132" s="4">
        <x:f>ROUND(E132,2)</x:f>
      </x:c>
      <x:c r="I132" s="5">
        <x:f>MONTH(A132)</x:f>
      </x:c>
      <x:c r="J132" s="5">
        <x:f>YEAR(A132)</x:f>
      </x:c>
      <x:c r="K132" s="5">
        <x:f>WEEKNUM(A132,2)</x:f>
      </x:c>
      <x:c r="L132" s="5">
        <x:f>ISOWEEKNUM(A132)</x:f>
      </x:c>
      <x:c r="M132" s="5">
        <x:f>TRIM(CLEAN(B132))</x:f>
      </x:c>
      <x:c r="N132" s="5">
        <x:f>UPPER(M132)</x:f>
      </x:c>
      <x:c r="O132" s="5">
        <x:f>LOWER(M132)</x:f>
      </x:c>
      <x:c r="P132" s="3">
        <x:f>PROPER(M132)</x:f>
      </x:c>
      <x:c r="Q132" s="3">
        <x:f>LEN(M132)</x:f>
      </x:c>
      <x:c r="R132" s="3">
        <x:f>ISBLANK(B132)</x:f>
      </x:c>
      <x:c r="S132" s="3">
        <x:f>SIGN(E132)</x:f>
      </x:c>
      <x:c r="T132" s="3">
        <x:f>ISEVEN(ROW())</x:f>
      </x:c>
      <x:c r="U132" s="3">
        <x:f>ISODD(ROW())</x:f>
      </x:c>
    </x:row>
    <x:row r="133">
      <x:c r="A133" s="2" t="n">
        <x:v>45707</x:v>
      </x:c>
      <x:c r="B133" s="3" t="inlineStr">
        <x:is>
          <x:t xml:space="preserve">Tax refund</x:t>
        </x:is>
      </x:c>
      <x:c r="C133" s="3" t="inlineStr">
        <x:is>
          <x:t xml:space="preserve">Consulting</x:t>
        </x:is>
      </x:c>
      <x:c r="D133" s="3" t="inlineStr">
        <x:is>
          <x:t xml:space="preserve">Savings</x:t>
        </x:is>
      </x:c>
      <x:c r="E133" s="4" t="n">
        <x:v>3221.86</x:v>
      </x:c>
      <x:c r="F133" s="5">
        <x:f>IF(E133&gt;=0,"Income","Expense")</x:f>
      </x:c>
      <x:c r="G133" s="6">
        <x:f>ABS(E133)</x:f>
      </x:c>
      <x:c r="H133" s="4">
        <x:f>ROUND(E133,2)</x:f>
      </x:c>
      <x:c r="I133" s="5">
        <x:f>MONTH(A133)</x:f>
      </x:c>
      <x:c r="J133" s="5">
        <x:f>YEAR(A133)</x:f>
      </x:c>
      <x:c r="K133" s="5">
        <x:f>WEEKNUM(A133,2)</x:f>
      </x:c>
      <x:c r="L133" s="5">
        <x:f>ISOWEEKNUM(A133)</x:f>
      </x:c>
      <x:c r="M133" s="5">
        <x:f>TRIM(CLEAN(B133))</x:f>
      </x:c>
      <x:c r="N133" s="5">
        <x:f>UPPER(M133)</x:f>
      </x:c>
      <x:c r="O133" s="5">
        <x:f>LOWER(M133)</x:f>
      </x:c>
      <x:c r="P133" s="3">
        <x:f>PROPER(M133)</x:f>
      </x:c>
      <x:c r="Q133" s="3">
        <x:f>LEN(M133)</x:f>
      </x:c>
      <x:c r="R133" s="3">
        <x:f>ISBLANK(B133)</x:f>
      </x:c>
      <x:c r="S133" s="3">
        <x:f>SIGN(E133)</x:f>
      </x:c>
      <x:c r="T133" s="3">
        <x:f>ISEVEN(ROW())</x:f>
      </x:c>
      <x:c r="U133" s="3">
        <x:f>ISODD(ROW())</x:f>
      </x:c>
    </x:row>
    <x:row r="134">
      <x:c r="A134" s="2" t="n">
        <x:v>45870</x:v>
      </x:c>
      <x:c r="B134" s="3" t="inlineStr">
        <x:is>
          <x:t xml:space="preserve">Policy premium  </x:t>
        </x:is>
      </x:c>
      <x:c r="C134" s="3" t="inlineStr">
        <x:is>
          <x:t xml:space="preserve">Tax</x:t>
        </x:is>
      </x:c>
      <x:c r="D134" s="3" t="inlineStr">
        <x:is>
          <x:t xml:space="preserve">Credit Card</x:t>
        </x:is>
      </x:c>
      <x:c r="E134" s="4" t="n">
        <x:v>-2630.26</x:v>
      </x:c>
      <x:c r="F134" s="5">
        <x:f>IF(E134&gt;=0,"Income","Expense")</x:f>
      </x:c>
      <x:c r="G134" s="6">
        <x:f>ABS(E134)</x:f>
      </x:c>
      <x:c r="H134" s="4">
        <x:f>ROUND(E134,2)</x:f>
      </x:c>
      <x:c r="I134" s="5">
        <x:f>MONTH(A134)</x:f>
      </x:c>
      <x:c r="J134" s="5">
        <x:f>YEAR(A134)</x:f>
      </x:c>
      <x:c r="K134" s="5">
        <x:f>WEEKNUM(A134,2)</x:f>
      </x:c>
      <x:c r="L134" s="5">
        <x:f>ISOWEEKNUM(A134)</x:f>
      </x:c>
      <x:c r="M134" s="5">
        <x:f>TRIM(CLEAN(B134))</x:f>
      </x:c>
      <x:c r="N134" s="5">
        <x:f>UPPER(M134)</x:f>
      </x:c>
      <x:c r="O134" s="5">
        <x:f>LOWER(M134)</x:f>
      </x:c>
      <x:c r="P134" s="3">
        <x:f>PROPER(M134)</x:f>
      </x:c>
      <x:c r="Q134" s="3">
        <x:f>LEN(M134)</x:f>
      </x:c>
      <x:c r="R134" s="3">
        <x:f>ISBLANK(B134)</x:f>
      </x:c>
      <x:c r="S134" s="3">
        <x:f>SIGN(E134)</x:f>
      </x:c>
      <x:c r="T134" s="3">
        <x:f>ISEVEN(ROW())</x:f>
      </x:c>
      <x:c r="U134" s="3">
        <x:f>ISODD(ROW())</x:f>
      </x:c>
    </x:row>
    <x:row r="135">
      <x:c r="A135" s="2" t="n">
        <x:v>45885</x:v>
      </x:c>
      <x:c r="B135" s="3" t="inlineStr">
        <x:is>
          <x:t xml:space="preserve">Ad spend</x:t>
        </x:is>
      </x:c>
      <x:c r="C135" s="3" t="inlineStr">
        <x:is>
          <x:t xml:space="preserve">Travel</x:t>
        </x:is>
      </x:c>
      <x:c r="D135" s="3" t="inlineStr">
        <x:is>
          <x:t xml:space="preserve">Savings</x:t>
        </x:is>
      </x:c>
      <x:c r="E135" s="4" t="n">
        <x:v>-291.7</x:v>
      </x:c>
      <x:c r="F135" s="5">
        <x:f>IF(E135&gt;=0,"Income","Expense")</x:f>
      </x:c>
      <x:c r="G135" s="6">
        <x:f>ABS(E135)</x:f>
      </x:c>
      <x:c r="H135" s="4">
        <x:f>ROUND(E135,2)</x:f>
      </x:c>
      <x:c r="I135" s="5">
        <x:f>MONTH(A135)</x:f>
      </x:c>
      <x:c r="J135" s="5">
        <x:f>YEAR(A135)</x:f>
      </x:c>
      <x:c r="K135" s="5">
        <x:f>WEEKNUM(A135,2)</x:f>
      </x:c>
      <x:c r="L135" s="5">
        <x:f>ISOWEEKNUM(A135)</x:f>
      </x:c>
      <x:c r="M135" s="5">
        <x:f>TRIM(CLEAN(B135))</x:f>
      </x:c>
      <x:c r="N135" s="5">
        <x:f>UPPER(M135)</x:f>
      </x:c>
      <x:c r="O135" s="5">
        <x:f>LOWER(M135)</x:f>
      </x:c>
      <x:c r="P135" s="3">
        <x:f>PROPER(M135)</x:f>
      </x:c>
      <x:c r="Q135" s="3">
        <x:f>LEN(M135)</x:f>
      </x:c>
      <x:c r="R135" s="3">
        <x:f>ISBLANK(B135)</x:f>
      </x:c>
      <x:c r="S135" s="3">
        <x:f>SIGN(E135)</x:f>
      </x:c>
      <x:c r="T135" s="3">
        <x:f>ISEVEN(ROW())</x:f>
      </x:c>
      <x:c r="U135" s="3">
        <x:f>ISODD(ROW())</x:f>
      </x:c>
    </x:row>
    <x:row r="136">
      <x:c r="A136" s="2" t="n">
        <x:v>45988</x:v>
      </x:c>
      <x:c r="B136" s="3" t="inlineStr">
        <x:is>
          <x:t xml:space="preserve">SaaS subscription</x:t>
        </x:is>
      </x:c>
      <x:c r="C136" s="3" t="inlineStr">
        <x:is>
          <x:t xml:space="preserve">Insurance</x:t>
        </x:is>
      </x:c>
      <x:c r="D136" s="3" t="inlineStr">
        <x:is>
          <x:t xml:space="preserve">Checking</x:t>
        </x:is>
      </x:c>
      <x:c r="E136" s="4" t="n">
        <x:v>-543.62</x:v>
      </x:c>
      <x:c r="F136" s="5">
        <x:f>IF(E136&gt;=0,"Income","Expense")</x:f>
      </x:c>
      <x:c r="G136" s="6">
        <x:f>ABS(E136)</x:f>
      </x:c>
      <x:c r="H136" s="4">
        <x:f>ROUND(E136,2)</x:f>
      </x:c>
      <x:c r="I136" s="5">
        <x:f>MONTH(A136)</x:f>
      </x:c>
      <x:c r="J136" s="5">
        <x:f>YEAR(A136)</x:f>
      </x:c>
      <x:c r="K136" s="5">
        <x:f>WEEKNUM(A136,2)</x:f>
      </x:c>
      <x:c r="L136" s="5">
        <x:f>ISOWEEKNUM(A136)</x:f>
      </x:c>
      <x:c r="M136" s="5">
        <x:f>TRIM(CLEAN(B136))</x:f>
      </x:c>
      <x:c r="N136" s="5">
        <x:f>UPPER(M136)</x:f>
      </x:c>
      <x:c r="O136" s="5">
        <x:f>LOWER(M136)</x:f>
      </x:c>
      <x:c r="P136" s="3">
        <x:f>PROPER(M136)</x:f>
      </x:c>
      <x:c r="Q136" s="3">
        <x:f>LEN(M136)</x:f>
      </x:c>
      <x:c r="R136" s="3">
        <x:f>ISBLANK(B136)</x:f>
      </x:c>
      <x:c r="S136" s="3">
        <x:f>SIGN(E136)</x:f>
      </x:c>
      <x:c r="T136" s="3">
        <x:f>ISEVEN(ROW())</x:f>
      </x:c>
      <x:c r="U136" s="3">
        <x:f>ISODD(ROW())</x:f>
      </x:c>
    </x:row>
    <x:row r="137">
      <x:c r="A137" s="2" t="n">
        <x:v>45704</x:v>
      </x:c>
      <x:c r="B137" s="3" t="inlineStr">
        <x:is>
          <x:t xml:space="preserve">Apartment rent</x:t>
        </x:is>
      </x:c>
      <x:c r="C137" s="3" t="inlineStr">
        <x:is>
          <x:t xml:space="preserve">Rent</x:t>
        </x:is>
      </x:c>
      <x:c r="D137" s="3" t="inlineStr">
        <x:is>
          <x:t xml:space="preserve">Checking</x:t>
        </x:is>
      </x:c>
      <x:c r="E137" s="4" t="n">
        <x:v>-2206.22</x:v>
      </x:c>
      <x:c r="F137" s="5">
        <x:f>IF(E137&gt;=0,"Income","Expense")</x:f>
      </x:c>
      <x:c r="G137" s="6">
        <x:f>ABS(E137)</x:f>
      </x:c>
      <x:c r="H137" s="4">
        <x:f>ROUND(E137,2)</x:f>
      </x:c>
      <x:c r="I137" s="5">
        <x:f>MONTH(A137)</x:f>
      </x:c>
      <x:c r="J137" s="5">
        <x:f>YEAR(A137)</x:f>
      </x:c>
      <x:c r="K137" s="5">
        <x:f>WEEKNUM(A137,2)</x:f>
      </x:c>
      <x:c r="L137" s="5">
        <x:f>ISOWEEKNUM(A137)</x:f>
      </x:c>
      <x:c r="M137" s="5">
        <x:f>TRIM(CLEAN(B137))</x:f>
      </x:c>
      <x:c r="N137" s="5">
        <x:f>UPPER(M137)</x:f>
      </x:c>
      <x:c r="O137" s="5">
        <x:f>LOWER(M137)</x:f>
      </x:c>
      <x:c r="P137" s="3">
        <x:f>PROPER(M137)</x:f>
      </x:c>
      <x:c r="Q137" s="3">
        <x:f>LEN(M137)</x:f>
      </x:c>
      <x:c r="R137" s="3">
        <x:f>ISBLANK(B137)</x:f>
      </x:c>
      <x:c r="S137" s="3">
        <x:f>SIGN(E137)</x:f>
      </x:c>
      <x:c r="T137" s="3">
        <x:f>ISEVEN(ROW())</x:f>
      </x:c>
      <x:c r="U137" s="3">
        <x:f>ISODD(ROW())</x:f>
      </x:c>
    </x:row>
    <x:row r="138">
      <x:c r="A138" s="2" t="n">
        <x:v>45763</x:v>
      </x:c>
      <x:c r="B138" s="3" t="inlineStr">
        <x:is>
          <x:t xml:space="preserve">Client invoice</x:t>
        </x:is>
      </x:c>
      <x:c r="C138" s="3" t="inlineStr">
        <x:is>
          <x:t xml:space="preserve">Consulting</x:t>
        </x:is>
      </x:c>
      <x:c r="D138" s="3" t="inlineStr">
        <x:is>
          <x:t xml:space="preserve">Checking</x:t>
        </x:is>
      </x:c>
      <x:c r="E138" s="4" t="n">
        <x:v>5378.32</x:v>
      </x:c>
      <x:c r="F138" s="5">
        <x:f>IF(E138&gt;=0,"Income","Expense")</x:f>
      </x:c>
      <x:c r="G138" s="6">
        <x:f>ABS(E138)</x:f>
      </x:c>
      <x:c r="H138" s="4">
        <x:f>ROUND(E138,2)</x:f>
      </x:c>
      <x:c r="I138" s="5">
        <x:f>MONTH(A138)</x:f>
      </x:c>
      <x:c r="J138" s="5">
        <x:f>YEAR(A138)</x:f>
      </x:c>
      <x:c r="K138" s="5">
        <x:f>WEEKNUM(A138,2)</x:f>
      </x:c>
      <x:c r="L138" s="5">
        <x:f>ISOWEEKNUM(A138)</x:f>
      </x:c>
      <x:c r="M138" s="5">
        <x:f>TRIM(CLEAN(B138))</x:f>
      </x:c>
      <x:c r="N138" s="5">
        <x:f>UPPER(M138)</x:f>
      </x:c>
      <x:c r="O138" s="5">
        <x:f>LOWER(M138)</x:f>
      </x:c>
      <x:c r="P138" s="3">
        <x:f>PROPER(M138)</x:f>
      </x:c>
      <x:c r="Q138" s="3">
        <x:f>LEN(M138)</x:f>
      </x:c>
      <x:c r="R138" s="3">
        <x:f>ISBLANK(B138)</x:f>
      </x:c>
      <x:c r="S138" s="3">
        <x:f>SIGN(E138)</x:f>
      </x:c>
      <x:c r="T138" s="3">
        <x:f>ISEVEN(ROW())</x:f>
      </x:c>
      <x:c r="U138" s="3">
        <x:f>ISODD(ROW())</x:f>
      </x:c>
    </x:row>
    <x:row r="139">
      <x:c r="A139" s="2" t="n">
        <x:v>45963</x:v>
      </x:c>
      <x:c r="B139" s="3" t="inlineStr">
        <x:is>
          <x:t xml:space="preserve">Client invoice  </x:t>
        </x:is>
      </x:c>
      <x:c r="C139" s="3" t="inlineStr">
        <x:is>
          <x:t xml:space="preserve">Consulting</x:t>
        </x:is>
      </x:c>
      <x:c r="D139" s="3" t="inlineStr">
        <x:is>
          <x:t xml:space="preserve">Checking</x:t>
        </x:is>
      </x:c>
      <x:c r="E139" s="4" t="n">
        <x:v>3741.29</x:v>
      </x:c>
      <x:c r="F139" s="5">
        <x:f>IF(E139&gt;=0,"Income","Expense")</x:f>
      </x:c>
      <x:c r="G139" s="6">
        <x:f>ABS(E139)</x:f>
      </x:c>
      <x:c r="H139" s="4">
        <x:f>ROUND(E139,2)</x:f>
      </x:c>
      <x:c r="I139" s="5">
        <x:f>MONTH(A139)</x:f>
      </x:c>
      <x:c r="J139" s="5">
        <x:f>YEAR(A139)</x:f>
      </x:c>
      <x:c r="K139" s="5">
        <x:f>WEEKNUM(A139,2)</x:f>
      </x:c>
      <x:c r="L139" s="5">
        <x:f>ISOWEEKNUM(A139)</x:f>
      </x:c>
      <x:c r="M139" s="5">
        <x:f>TRIM(CLEAN(B139))</x:f>
      </x:c>
      <x:c r="N139" s="5">
        <x:f>UPPER(M139)</x:f>
      </x:c>
      <x:c r="O139" s="5">
        <x:f>LOWER(M139)</x:f>
      </x:c>
      <x:c r="P139" s="3">
        <x:f>PROPER(M139)</x:f>
      </x:c>
      <x:c r="Q139" s="3">
        <x:f>LEN(M139)</x:f>
      </x:c>
      <x:c r="R139" s="3">
        <x:f>ISBLANK(B139)</x:f>
      </x:c>
      <x:c r="S139" s="3">
        <x:f>SIGN(E139)</x:f>
      </x:c>
      <x:c r="T139" s="3">
        <x:f>ISEVEN(ROW())</x:f>
      </x:c>
      <x:c r="U139" s="3">
        <x:f>ISODD(ROW())</x:f>
      </x:c>
    </x:row>
    <x:row r="140">
      <x:c r="A140" s="2" t="n">
        <x:v>45725</x:v>
      </x:c>
      <x:c r="B140" s="3" t="inlineStr">
        <x:is>
          <x:t xml:space="preserve">Bank interest  </x:t>
        </x:is>
      </x:c>
      <x:c r="C140" s="3" t="inlineStr">
        <x:is>
          <x:t xml:space="preserve">Consulting</x:t>
        </x:is>
      </x:c>
      <x:c r="D140" s="3" t="inlineStr">
        <x:is>
          <x:t xml:space="preserve">Savings</x:t>
        </x:is>
      </x:c>
      <x:c r="E140" s="4" t="n">
        <x:v>594.6900000000001</x:v>
      </x:c>
      <x:c r="F140" s="5">
        <x:f>IF(E140&gt;=0,"Income","Expense")</x:f>
      </x:c>
      <x:c r="G140" s="6">
        <x:f>ABS(E140)</x:f>
      </x:c>
      <x:c r="H140" s="4">
        <x:f>ROUND(E140,2)</x:f>
      </x:c>
      <x:c r="I140" s="5">
        <x:f>MONTH(A140)</x:f>
      </x:c>
      <x:c r="J140" s="5">
        <x:f>YEAR(A140)</x:f>
      </x:c>
      <x:c r="K140" s="5">
        <x:f>WEEKNUM(A140,2)</x:f>
      </x:c>
      <x:c r="L140" s="5">
        <x:f>ISOWEEKNUM(A140)</x:f>
      </x:c>
      <x:c r="M140" s="5">
        <x:f>TRIM(CLEAN(B140))</x:f>
      </x:c>
      <x:c r="N140" s="5">
        <x:f>UPPER(M140)</x:f>
      </x:c>
      <x:c r="O140" s="5">
        <x:f>LOWER(M140)</x:f>
      </x:c>
      <x:c r="P140" s="3">
        <x:f>PROPER(M140)</x:f>
      </x:c>
      <x:c r="Q140" s="3">
        <x:f>LEN(M140)</x:f>
      </x:c>
      <x:c r="R140" s="3">
        <x:f>ISBLANK(B140)</x:f>
      </x:c>
      <x:c r="S140" s="3">
        <x:f>SIGN(E140)</x:f>
      </x:c>
      <x:c r="T140" s="3">
        <x:f>ISEVEN(ROW())</x:f>
      </x:c>
      <x:c r="U140" s="3">
        <x:f>ISODD(ROW())</x:f>
      </x:c>
    </x:row>
    <x:row r="141">
      <x:c r="A141" s="2" t="n">
        <x:v>45927</x:v>
      </x:c>
      <x:c r="B141" s="3" t="inlineStr">
        <x:is>
          <x:t xml:space="preserve">Tax refund</x:t>
        </x:is>
      </x:c>
      <x:c r="C141" s="3" t="inlineStr">
        <x:is>
          <x:t xml:space="preserve">Salary</x:t>
        </x:is>
      </x:c>
      <x:c r="D141" s="3" t="inlineStr">
        <x:is>
          <x:t xml:space="preserve">Savings</x:t>
        </x:is>
      </x:c>
      <x:c r="E141" s="4" t="n">
        <x:v>3189.65</x:v>
      </x:c>
      <x:c r="F141" s="5">
        <x:f>IF(E141&gt;=0,"Income","Expense")</x:f>
      </x:c>
      <x:c r="G141" s="6">
        <x:f>ABS(E141)</x:f>
      </x:c>
      <x:c r="H141" s="4">
        <x:f>ROUND(E141,2)</x:f>
      </x:c>
      <x:c r="I141" s="5">
        <x:f>MONTH(A141)</x:f>
      </x:c>
      <x:c r="J141" s="5">
        <x:f>YEAR(A141)</x:f>
      </x:c>
      <x:c r="K141" s="5">
        <x:f>WEEKNUM(A141,2)</x:f>
      </x:c>
      <x:c r="L141" s="5">
        <x:f>ISOWEEKNUM(A141)</x:f>
      </x:c>
      <x:c r="M141" s="5">
        <x:f>TRIM(CLEAN(B141))</x:f>
      </x:c>
      <x:c r="N141" s="5">
        <x:f>UPPER(M141)</x:f>
      </x:c>
      <x:c r="O141" s="5">
        <x:f>LOWER(M141)</x:f>
      </x:c>
      <x:c r="P141" s="3">
        <x:f>PROPER(M141)</x:f>
      </x:c>
      <x:c r="Q141" s="3">
        <x:f>LEN(M141)</x:f>
      </x:c>
      <x:c r="R141" s="3">
        <x:f>ISBLANK(B141)</x:f>
      </x:c>
      <x:c r="S141" s="3">
        <x:f>SIGN(E141)</x:f>
      </x:c>
      <x:c r="T141" s="3">
        <x:f>ISEVEN(ROW())</x:f>
      </x:c>
      <x:c r="U141" s="3">
        <x:f>ISODD(ROW())</x:f>
      </x:c>
    </x:row>
    <x:row r="142">
      <x:c r="A142" s="2" t="n">
        <x:v>45915</x:v>
      </x:c>
      <x:c r="B142" s="3" t="inlineStr">
        <x:is>
          <x:t xml:space="preserve">Bank interest  </x:t>
        </x:is>
      </x:c>
      <x:c r="C142" s="3" t="inlineStr">
        <x:is>
          <x:t xml:space="preserve">Salary</x:t>
        </x:is>
      </x:c>
      <x:c r="D142" s="3" t="inlineStr">
        <x:is>
          <x:t xml:space="preserve">Checking</x:t>
        </x:is>
      </x:c>
      <x:c r="E142" s="4" t="n">
        <x:v>3248.26</x:v>
      </x:c>
      <x:c r="F142" s="5">
        <x:f>IF(E142&gt;=0,"Income","Expense")</x:f>
      </x:c>
      <x:c r="G142" s="6">
        <x:f>ABS(E142)</x:f>
      </x:c>
      <x:c r="H142" s="4">
        <x:f>ROUND(E142,2)</x:f>
      </x:c>
      <x:c r="I142" s="5">
        <x:f>MONTH(A142)</x:f>
      </x:c>
      <x:c r="J142" s="5">
        <x:f>YEAR(A142)</x:f>
      </x:c>
      <x:c r="K142" s="5">
        <x:f>WEEKNUM(A142,2)</x:f>
      </x:c>
      <x:c r="L142" s="5">
        <x:f>ISOWEEKNUM(A142)</x:f>
      </x:c>
      <x:c r="M142" s="5">
        <x:f>TRIM(CLEAN(B142))</x:f>
      </x:c>
      <x:c r="N142" s="5">
        <x:f>UPPER(M142)</x:f>
      </x:c>
      <x:c r="O142" s="5">
        <x:f>LOWER(M142)</x:f>
      </x:c>
      <x:c r="P142" s="3">
        <x:f>PROPER(M142)</x:f>
      </x:c>
      <x:c r="Q142" s="3">
        <x:f>LEN(M142)</x:f>
      </x:c>
      <x:c r="R142" s="3">
        <x:f>ISBLANK(B142)</x:f>
      </x:c>
      <x:c r="S142" s="3">
        <x:f>SIGN(E142)</x:f>
      </x:c>
      <x:c r="T142" s="3">
        <x:f>ISEVEN(ROW())</x:f>
      </x:c>
      <x:c r="U142" s="3">
        <x:f>ISODD(ROW())</x:f>
      </x:c>
    </x:row>
    <x:row r="143">
      <x:c r="A143" s="2" t="n">
        <x:v>45863</x:v>
      </x:c>
      <x:c r="B143" s="3" t="inlineStr">
        <x:is>
          <x:t xml:space="preserve">Estimated tax  
</x:t>
        </x:is>
      </x:c>
      <x:c r="C143" s="3" t="inlineStr">
        <x:is>
          <x:t xml:space="preserve">Groceries</x:t>
        </x:is>
      </x:c>
      <x:c r="D143" s="3" t="inlineStr">
        <x:is>
          <x:t xml:space="preserve">Credit Card</x:t>
        </x:is>
      </x:c>
      <x:c r="E143" s="4" t="n">
        <x:v>-1999.04</x:v>
      </x:c>
      <x:c r="F143" s="5">
        <x:f>IF(E143&gt;=0,"Income","Expense")</x:f>
      </x:c>
      <x:c r="G143" s="6">
        <x:f>ABS(E143)</x:f>
      </x:c>
      <x:c r="H143" s="4">
        <x:f>ROUND(E143,2)</x:f>
      </x:c>
      <x:c r="I143" s="5">
        <x:f>MONTH(A143)</x:f>
      </x:c>
      <x:c r="J143" s="5">
        <x:f>YEAR(A143)</x:f>
      </x:c>
      <x:c r="K143" s="5">
        <x:f>WEEKNUM(A143,2)</x:f>
      </x:c>
      <x:c r="L143" s="5">
        <x:f>ISOWEEKNUM(A143)</x:f>
      </x:c>
      <x:c r="M143" s="5">
        <x:f>TRIM(CLEAN(B143))</x:f>
      </x:c>
      <x:c r="N143" s="5">
        <x:f>UPPER(M143)</x:f>
      </x:c>
      <x:c r="O143" s="5">
        <x:f>LOWER(M143)</x:f>
      </x:c>
      <x:c r="P143" s="3">
        <x:f>PROPER(M143)</x:f>
      </x:c>
      <x:c r="Q143" s="3">
        <x:f>LEN(M143)</x:f>
      </x:c>
      <x:c r="R143" s="3">
        <x:f>ISBLANK(B143)</x:f>
      </x:c>
      <x:c r="S143" s="3">
        <x:f>SIGN(E143)</x:f>
      </x:c>
      <x:c r="T143" s="3">
        <x:f>ISEVEN(ROW())</x:f>
      </x:c>
      <x:c r="U143" s="3">
        <x:f>ISODD(ROW())</x:f>
      </x:c>
    </x:row>
    <x:row r="144">
      <x:c r="A144" s="2" t="n">
        <x:v>45969</x:v>
      </x:c>
      <x:c r="B144" s="3" t="inlineStr">
        <x:is>
          <x:t xml:space="preserve">Bank interest</x:t>
        </x:is>
      </x:c>
      <x:c r="C144" s="3" t="inlineStr">
        <x:is>
          <x:t xml:space="preserve">Consulting</x:t>
        </x:is>
      </x:c>
      <x:c r="D144" s="3" t="inlineStr">
        <x:is>
          <x:t xml:space="preserve">Savings</x:t>
        </x:is>
      </x:c>
      <x:c r="E144" s="4" t="n">
        <x:v>4245.9</x:v>
      </x:c>
      <x:c r="F144" s="5">
        <x:f>IF(E144&gt;=0,"Income","Expense")</x:f>
      </x:c>
      <x:c r="G144" s="6">
        <x:f>ABS(E144)</x:f>
      </x:c>
      <x:c r="H144" s="4">
        <x:f>ROUND(E144,2)</x:f>
      </x:c>
      <x:c r="I144" s="5">
        <x:f>MONTH(A144)</x:f>
      </x:c>
      <x:c r="J144" s="5">
        <x:f>YEAR(A144)</x:f>
      </x:c>
      <x:c r="K144" s="5">
        <x:f>WEEKNUM(A144,2)</x:f>
      </x:c>
      <x:c r="L144" s="5">
        <x:f>ISOWEEKNUM(A144)</x:f>
      </x:c>
      <x:c r="M144" s="5">
        <x:f>TRIM(CLEAN(B144))</x:f>
      </x:c>
      <x:c r="N144" s="5">
        <x:f>UPPER(M144)</x:f>
      </x:c>
      <x:c r="O144" s="5">
        <x:f>LOWER(M144)</x:f>
      </x:c>
      <x:c r="P144" s="3">
        <x:f>PROPER(M144)</x:f>
      </x:c>
      <x:c r="Q144" s="3">
        <x:f>LEN(M144)</x:f>
      </x:c>
      <x:c r="R144" s="3">
        <x:f>ISBLANK(B144)</x:f>
      </x:c>
      <x:c r="S144" s="3">
        <x:f>SIGN(E144)</x:f>
      </x:c>
      <x:c r="T144" s="3">
        <x:f>ISEVEN(ROW())</x:f>
      </x:c>
      <x:c r="U144" s="3">
        <x:f>ISODD(ROW())</x:f>
      </x:c>
    </x:row>
    <x:row r="145">
      <x:c r="A145" s="2" t="n">
        <x:v>45808</x:v>
      </x:c>
      <x:c r="B145" s="3" t="inlineStr">
        <x:is>
          <x:t xml:space="preserve">Grocery store</x:t>
        </x:is>
      </x:c>
      <x:c r="C145" s="3" t="inlineStr">
        <x:is>
          <x:t xml:space="preserve">Insurance</x:t>
        </x:is>
      </x:c>
      <x:c r="D145" s="3" t="inlineStr">
        <x:is>
          <x:t xml:space="preserve">Checking</x:t>
        </x:is>
      </x:c>
      <x:c r="E145" s="4" t="n">
        <x:v>-2223.77</x:v>
      </x:c>
      <x:c r="F145" s="5">
        <x:f>IF(E145&gt;=0,"Income","Expense")</x:f>
      </x:c>
      <x:c r="G145" s="6">
        <x:f>ABS(E145)</x:f>
      </x:c>
      <x:c r="H145" s="4">
        <x:f>ROUND(E145,2)</x:f>
      </x:c>
      <x:c r="I145" s="5">
        <x:f>MONTH(A145)</x:f>
      </x:c>
      <x:c r="J145" s="5">
        <x:f>YEAR(A145)</x:f>
      </x:c>
      <x:c r="K145" s="5">
        <x:f>WEEKNUM(A145,2)</x:f>
      </x:c>
      <x:c r="L145" s="5">
        <x:f>ISOWEEKNUM(A145)</x:f>
      </x:c>
      <x:c r="M145" s="5">
        <x:f>TRIM(CLEAN(B145))</x:f>
      </x:c>
      <x:c r="N145" s="5">
        <x:f>UPPER(M145)</x:f>
      </x:c>
      <x:c r="O145" s="5">
        <x:f>LOWER(M145)</x:f>
      </x:c>
      <x:c r="P145" s="3">
        <x:f>PROPER(M145)</x:f>
      </x:c>
      <x:c r="Q145" s="3">
        <x:f>LEN(M145)</x:f>
      </x:c>
      <x:c r="R145" s="3">
        <x:f>ISBLANK(B145)</x:f>
      </x:c>
      <x:c r="S145" s="3">
        <x:f>SIGN(E145)</x:f>
      </x:c>
      <x:c r="T145" s="3">
        <x:f>ISEVEN(ROW())</x:f>
      </x:c>
      <x:c r="U145" s="3">
        <x:f>ISODD(ROW())</x:f>
      </x:c>
    </x:row>
    <x:row r="146">
      <x:c r="A146" s="2" t="n">
        <x:v>45940</x:v>
      </x:c>
      <x:c r="B146" s="3" t="inlineStr">
        <x:is>
          <x:t xml:space="preserve">Policy premium</x:t>
        </x:is>
      </x:c>
      <x:c r="C146" s="3" t="inlineStr">
        <x:is>
          <x:t xml:space="preserve">Travel</x:t>
        </x:is>
      </x:c>
      <x:c r="D146" s="3" t="inlineStr">
        <x:is>
          <x:t xml:space="preserve">Checking</x:t>
        </x:is>
      </x:c>
      <x:c r="E146" s="4" t="n">
        <x:v>-1272.58</x:v>
      </x:c>
      <x:c r="F146" s="5">
        <x:f>IF(E146&gt;=0,"Income","Expense")</x:f>
      </x:c>
      <x:c r="G146" s="6">
        <x:f>ABS(E146)</x:f>
      </x:c>
      <x:c r="H146" s="4">
        <x:f>ROUND(E146,2)</x:f>
      </x:c>
      <x:c r="I146" s="5">
        <x:f>MONTH(A146)</x:f>
      </x:c>
      <x:c r="J146" s="5">
        <x:f>YEAR(A146)</x:f>
      </x:c>
      <x:c r="K146" s="5">
        <x:f>WEEKNUM(A146,2)</x:f>
      </x:c>
      <x:c r="L146" s="5">
        <x:f>ISOWEEKNUM(A146)</x:f>
      </x:c>
      <x:c r="M146" s="5">
        <x:f>TRIM(CLEAN(B146))</x:f>
      </x:c>
      <x:c r="N146" s="5">
        <x:f>UPPER(M146)</x:f>
      </x:c>
      <x:c r="O146" s="5">
        <x:f>LOWER(M146)</x:f>
      </x:c>
      <x:c r="P146" s="3">
        <x:f>PROPER(M146)</x:f>
      </x:c>
      <x:c r="Q146" s="3">
        <x:f>LEN(M146)</x:f>
      </x:c>
      <x:c r="R146" s="3">
        <x:f>ISBLANK(B146)</x:f>
      </x:c>
      <x:c r="S146" s="3">
        <x:f>SIGN(E146)</x:f>
      </x:c>
      <x:c r="T146" s="3">
        <x:f>ISEVEN(ROW())</x:f>
      </x:c>
      <x:c r="U146" s="3">
        <x:f>ISODD(ROW())</x:f>
      </x:c>
    </x:row>
    <x:row r="147">
      <x:c r="A147" s="2" t="n">
        <x:v>45862</x:v>
      </x:c>
      <x:c r="B147" s="3" t="inlineStr">
        <x:is>
          <x:t xml:space="preserve">Ad spend</x:t>
        </x:is>
      </x:c>
      <x:c r="C147" s="3" t="inlineStr">
        <x:is>
          <x:t xml:space="preserve">Groceries</x:t>
        </x:is>
      </x:c>
      <x:c r="D147" s="3" t="inlineStr">
        <x:is>
          <x:t xml:space="preserve">Savings</x:t>
        </x:is>
      </x:c>
      <x:c r="E147" s="4" t="n">
        <x:v>-1203.54</x:v>
      </x:c>
      <x:c r="F147" s="5">
        <x:f>IF(E147&gt;=0,"Income","Expense")</x:f>
      </x:c>
      <x:c r="G147" s="6">
        <x:f>ABS(E147)</x:f>
      </x:c>
      <x:c r="H147" s="4">
        <x:f>ROUND(E147,2)</x:f>
      </x:c>
      <x:c r="I147" s="5">
        <x:f>MONTH(A147)</x:f>
      </x:c>
      <x:c r="J147" s="5">
        <x:f>YEAR(A147)</x:f>
      </x:c>
      <x:c r="K147" s="5">
        <x:f>WEEKNUM(A147,2)</x:f>
      </x:c>
      <x:c r="L147" s="5">
        <x:f>ISOWEEKNUM(A147)</x:f>
      </x:c>
      <x:c r="M147" s="5">
        <x:f>TRIM(CLEAN(B147))</x:f>
      </x:c>
      <x:c r="N147" s="5">
        <x:f>UPPER(M147)</x:f>
      </x:c>
      <x:c r="O147" s="5">
        <x:f>LOWER(M147)</x:f>
      </x:c>
      <x:c r="P147" s="3">
        <x:f>PROPER(M147)</x:f>
      </x:c>
      <x:c r="Q147" s="3">
        <x:f>LEN(M147)</x:f>
      </x:c>
      <x:c r="R147" s="3">
        <x:f>ISBLANK(B147)</x:f>
      </x:c>
      <x:c r="S147" s="3">
        <x:f>SIGN(E147)</x:f>
      </x:c>
      <x:c r="T147" s="3">
        <x:f>ISEVEN(ROW())</x:f>
      </x:c>
      <x:c r="U147" s="3">
        <x:f>ISODD(ROW())</x:f>
      </x:c>
    </x:row>
    <x:row r="148">
      <x:c r="A148" s="2" t="n">
        <x:v>46009</x:v>
      </x:c>
      <x:c r="B148" s="3" t="inlineStr">
        <x:is>
          <x:t xml:space="preserve">Grocery store</x:t>
        </x:is>
      </x:c>
      <x:c r="C148" s="3" t="inlineStr">
        <x:is>
          <x:t xml:space="preserve">Groceries</x:t>
        </x:is>
      </x:c>
      <x:c r="D148" s="3" t="inlineStr">
        <x:is>
          <x:t xml:space="preserve">Checking</x:t>
        </x:is>
      </x:c>
      <x:c r="E148" s="4" t="n">
        <x:v>-2331.48</x:v>
      </x:c>
      <x:c r="F148" s="5">
        <x:f>IF(E148&gt;=0,"Income","Expense")</x:f>
      </x:c>
      <x:c r="G148" s="6">
        <x:f>ABS(E148)</x:f>
      </x:c>
      <x:c r="H148" s="4">
        <x:f>ROUND(E148,2)</x:f>
      </x:c>
      <x:c r="I148" s="5">
        <x:f>MONTH(A148)</x:f>
      </x:c>
      <x:c r="J148" s="5">
        <x:f>YEAR(A148)</x:f>
      </x:c>
      <x:c r="K148" s="5">
        <x:f>WEEKNUM(A148,2)</x:f>
      </x:c>
      <x:c r="L148" s="5">
        <x:f>ISOWEEKNUM(A148)</x:f>
      </x:c>
      <x:c r="M148" s="5">
        <x:f>TRIM(CLEAN(B148))</x:f>
      </x:c>
      <x:c r="N148" s="5">
        <x:f>UPPER(M148)</x:f>
      </x:c>
      <x:c r="O148" s="5">
        <x:f>LOWER(M148)</x:f>
      </x:c>
      <x:c r="P148" s="3">
        <x:f>PROPER(M148)</x:f>
      </x:c>
      <x:c r="Q148" s="3">
        <x:f>LEN(M148)</x:f>
      </x:c>
      <x:c r="R148" s="3">
        <x:f>ISBLANK(B148)</x:f>
      </x:c>
      <x:c r="S148" s="3">
        <x:f>SIGN(E148)</x:f>
      </x:c>
      <x:c r="T148" s="3">
        <x:f>ISEVEN(ROW())</x:f>
      </x:c>
      <x:c r="U148" s="3">
        <x:f>ISODD(ROW())</x:f>
      </x:c>
    </x:row>
    <x:row r="149">
      <x:c r="A149" s="2" t="n">
        <x:v>45848</x:v>
      </x:c>
      <x:c r="B149" s="3" t="inlineStr">
        <x:is>
          <x:t xml:space="preserve">Ad spend</x:t>
        </x:is>
      </x:c>
      <x:c r="C149" s="3" t="inlineStr">
        <x:is>
          <x:t xml:space="preserve">Rent</x:t>
        </x:is>
      </x:c>
      <x:c r="D149" s="3" t="inlineStr">
        <x:is>
          <x:t xml:space="preserve">Credit Card</x:t>
        </x:is>
      </x:c>
      <x:c r="E149" s="4" t="n">
        <x:v>-1880.99</x:v>
      </x:c>
      <x:c r="F149" s="5">
        <x:f>IF(E149&gt;=0,"Income","Expense")</x:f>
      </x:c>
      <x:c r="G149" s="6">
        <x:f>ABS(E149)</x:f>
      </x:c>
      <x:c r="H149" s="4">
        <x:f>ROUND(E149,2)</x:f>
      </x:c>
      <x:c r="I149" s="5">
        <x:f>MONTH(A149)</x:f>
      </x:c>
      <x:c r="J149" s="5">
        <x:f>YEAR(A149)</x:f>
      </x:c>
      <x:c r="K149" s="5">
        <x:f>WEEKNUM(A149,2)</x:f>
      </x:c>
      <x:c r="L149" s="5">
        <x:f>ISOWEEKNUM(A149)</x:f>
      </x:c>
      <x:c r="M149" s="5">
        <x:f>TRIM(CLEAN(B149))</x:f>
      </x:c>
      <x:c r="N149" s="5">
        <x:f>UPPER(M149)</x:f>
      </x:c>
      <x:c r="O149" s="5">
        <x:f>LOWER(M149)</x:f>
      </x:c>
      <x:c r="P149" s="3">
        <x:f>PROPER(M149)</x:f>
      </x:c>
      <x:c r="Q149" s="3">
        <x:f>LEN(M149)</x:f>
      </x:c>
      <x:c r="R149" s="3">
        <x:f>ISBLANK(B149)</x:f>
      </x:c>
      <x:c r="S149" s="3">
        <x:f>SIGN(E149)</x:f>
      </x:c>
      <x:c r="T149" s="3">
        <x:f>ISEVEN(ROW())</x:f>
      </x:c>
      <x:c r="U149" s="3">
        <x:f>ISODD(ROW())</x:f>
      </x:c>
    </x:row>
    <x:row r="150">
      <x:c r="A150" s="2" t="n">
        <x:v>45874</x:v>
      </x:c>
      <x:c r="B150" s="3" t="inlineStr">
        <x:is>
          <x:t xml:space="preserve">SaaS subscription  </x:t>
        </x:is>
      </x:c>
      <x:c r="C150" s="3" t="inlineStr">
        <x:is>
          <x:t xml:space="preserve">Rent</x:t>
        </x:is>
      </x:c>
      <x:c r="D150" s="3" t="inlineStr">
        <x:is>
          <x:t xml:space="preserve">Credit Card</x:t>
        </x:is>
      </x:c>
      <x:c r="E150" s="4" t="n">
        <x:v>-1687.14</x:v>
      </x:c>
      <x:c r="F150" s="5">
        <x:f>IF(E150&gt;=0,"Income","Expense")</x:f>
      </x:c>
      <x:c r="G150" s="6">
        <x:f>ABS(E150)</x:f>
      </x:c>
      <x:c r="H150" s="4">
        <x:f>ROUND(E150,2)</x:f>
      </x:c>
      <x:c r="I150" s="5">
        <x:f>MONTH(A150)</x:f>
      </x:c>
      <x:c r="J150" s="5">
        <x:f>YEAR(A150)</x:f>
      </x:c>
      <x:c r="K150" s="5">
        <x:f>WEEKNUM(A150,2)</x:f>
      </x:c>
      <x:c r="L150" s="5">
        <x:f>ISOWEEKNUM(A150)</x:f>
      </x:c>
      <x:c r="M150" s="5">
        <x:f>TRIM(CLEAN(B150))</x:f>
      </x:c>
      <x:c r="N150" s="5">
        <x:f>UPPER(M150)</x:f>
      </x:c>
      <x:c r="O150" s="5">
        <x:f>LOWER(M150)</x:f>
      </x:c>
      <x:c r="P150" s="3">
        <x:f>PROPER(M150)</x:f>
      </x:c>
      <x:c r="Q150" s="3">
        <x:f>LEN(M150)</x:f>
      </x:c>
      <x:c r="R150" s="3">
        <x:f>ISBLANK(B150)</x:f>
      </x:c>
      <x:c r="S150" s="3">
        <x:f>SIGN(E150)</x:f>
      </x:c>
      <x:c r="T150" s="3">
        <x:f>ISEVEN(ROW())</x:f>
      </x:c>
      <x:c r="U150" s="3">
        <x:f>ISODD(ROW())</x:f>
      </x:c>
    </x:row>
    <x:row r="151">
      <x:c r="A151" s="2" t="n">
        <x:v>45737</x:v>
      </x:c>
      <x:c r="B151" s="3" t="inlineStr">
        <x:is>
          <x:t xml:space="preserve">Grocery store</x:t>
        </x:is>
      </x:c>
      <x:c r="C151" s="3" t="inlineStr">
        <x:is>
          <x:t xml:space="preserve">Travel</x:t>
        </x:is>
      </x:c>
      <x:c r="D151" s="3" t="inlineStr">
        <x:is>
          <x:t xml:space="preserve">Savings</x:t>
        </x:is>
      </x:c>
      <x:c r="E151" s="4" t="n">
        <x:v>-990.0700000000001</x:v>
      </x:c>
      <x:c r="F151" s="5">
        <x:f>IF(E151&gt;=0,"Income","Expense")</x:f>
      </x:c>
      <x:c r="G151" s="6">
        <x:f>ABS(E151)</x:f>
      </x:c>
      <x:c r="H151" s="4">
        <x:f>ROUND(E151,2)</x:f>
      </x:c>
      <x:c r="I151" s="5">
        <x:f>MONTH(A151)</x:f>
      </x:c>
      <x:c r="J151" s="5">
        <x:f>YEAR(A151)</x:f>
      </x:c>
      <x:c r="K151" s="5">
        <x:f>WEEKNUM(A151,2)</x:f>
      </x:c>
      <x:c r="L151" s="5">
        <x:f>ISOWEEKNUM(A151)</x:f>
      </x:c>
      <x:c r="M151" s="5">
        <x:f>TRIM(CLEAN(B151))</x:f>
      </x:c>
      <x:c r="N151" s="5">
        <x:f>UPPER(M151)</x:f>
      </x:c>
      <x:c r="O151" s="5">
        <x:f>LOWER(M151)</x:f>
      </x:c>
      <x:c r="P151" s="3">
        <x:f>PROPER(M151)</x:f>
      </x:c>
      <x:c r="Q151" s="3">
        <x:f>LEN(M151)</x:f>
      </x:c>
      <x:c r="R151" s="3">
        <x:f>ISBLANK(B151)</x:f>
      </x:c>
      <x:c r="S151" s="3">
        <x:f>SIGN(E151)</x:f>
      </x:c>
      <x:c r="T151" s="3">
        <x:f>ISEVEN(ROW())</x:f>
      </x:c>
      <x:c r="U151" s="3">
        <x:f>ISODD(ROW())</x:f>
      </x:c>
    </x:row>
    <x:row r="152">
      <x:c r="A152" s="2" t="n">
        <x:v>45951</x:v>
      </x:c>
      <x:c r="B152" s="3" t="inlineStr">
        <x:is>
          <x:t xml:space="preserve">Monthly salary  </x:t>
        </x:is>
      </x:c>
      <x:c r="C152" s="3" t="inlineStr">
        <x:is>
          <x:t xml:space="preserve">Refund</x:t>
        </x:is>
      </x:c>
      <x:c r="D152" s="3" t="inlineStr">
        <x:is>
          <x:t xml:space="preserve">Savings</x:t>
        </x:is>
      </x:c>
      <x:c r="E152" s="4" t="n">
        <x:v>4153.97</x:v>
      </x:c>
      <x:c r="F152" s="5">
        <x:f>IF(E152&gt;=0,"Income","Expense")</x:f>
      </x:c>
      <x:c r="G152" s="6">
        <x:f>ABS(E152)</x:f>
      </x:c>
      <x:c r="H152" s="4">
        <x:f>ROUND(E152,2)</x:f>
      </x:c>
      <x:c r="I152" s="5">
        <x:f>MONTH(A152)</x:f>
      </x:c>
      <x:c r="J152" s="5">
        <x:f>YEAR(A152)</x:f>
      </x:c>
      <x:c r="K152" s="5">
        <x:f>WEEKNUM(A152,2)</x:f>
      </x:c>
      <x:c r="L152" s="5">
        <x:f>ISOWEEKNUM(A152)</x:f>
      </x:c>
      <x:c r="M152" s="5">
        <x:f>TRIM(CLEAN(B152))</x:f>
      </x:c>
      <x:c r="N152" s="5">
        <x:f>UPPER(M152)</x:f>
      </x:c>
      <x:c r="O152" s="5">
        <x:f>LOWER(M152)</x:f>
      </x:c>
      <x:c r="P152" s="3">
        <x:f>PROPER(M152)</x:f>
      </x:c>
      <x:c r="Q152" s="3">
        <x:f>LEN(M152)</x:f>
      </x:c>
      <x:c r="R152" s="3">
        <x:f>ISBLANK(B152)</x:f>
      </x:c>
      <x:c r="S152" s="3">
        <x:f>SIGN(E152)</x:f>
      </x:c>
      <x:c r="T152" s="3">
        <x:f>ISEVEN(ROW())</x:f>
      </x:c>
      <x:c r="U152" s="3">
        <x:f>ISODD(ROW())</x:f>
      </x:c>
    </x:row>
    <x:row r="153">
      <x:c r="A153" s="2" t="n">
        <x:v>45816</x:v>
      </x:c>
      <x:c r="B153" s="3" t="inlineStr">
        <x:is>
          <x:t xml:space="preserve">Apartment rent</x:t>
        </x:is>
      </x:c>
      <x:c r="C153" s="3" t="inlineStr">
        <x:is>
          <x:t xml:space="preserve">Marketing</x:t>
        </x:is>
      </x:c>
      <x:c r="D153" s="3" t="inlineStr">
        <x:is>
          <x:t xml:space="preserve">Checking</x:t>
        </x:is>
      </x:c>
      <x:c r="E153" s="4" t="n">
        <x:v>-520.21</x:v>
      </x:c>
      <x:c r="F153" s="5">
        <x:f>IF(E153&gt;=0,"Income","Expense")</x:f>
      </x:c>
      <x:c r="G153" s="6">
        <x:f>ABS(E153)</x:f>
      </x:c>
      <x:c r="H153" s="4">
        <x:f>ROUND(E153,2)</x:f>
      </x:c>
      <x:c r="I153" s="5">
        <x:f>MONTH(A153)</x:f>
      </x:c>
      <x:c r="J153" s="5">
        <x:f>YEAR(A153)</x:f>
      </x:c>
      <x:c r="K153" s="5">
        <x:f>WEEKNUM(A153,2)</x:f>
      </x:c>
      <x:c r="L153" s="5">
        <x:f>ISOWEEKNUM(A153)</x:f>
      </x:c>
      <x:c r="M153" s="5">
        <x:f>TRIM(CLEAN(B153))</x:f>
      </x:c>
      <x:c r="N153" s="5">
        <x:f>UPPER(M153)</x:f>
      </x:c>
      <x:c r="O153" s="5">
        <x:f>LOWER(M153)</x:f>
      </x:c>
      <x:c r="P153" s="3">
        <x:f>PROPER(M153)</x:f>
      </x:c>
      <x:c r="Q153" s="3">
        <x:f>LEN(M153)</x:f>
      </x:c>
      <x:c r="R153" s="3">
        <x:f>ISBLANK(B153)</x:f>
      </x:c>
      <x:c r="S153" s="3">
        <x:f>SIGN(E153)</x:f>
      </x:c>
      <x:c r="T153" s="3">
        <x:f>ISEVEN(ROW())</x:f>
      </x:c>
      <x:c r="U153" s="3">
        <x:f>ISODD(ROW())</x:f>
      </x:c>
    </x:row>
    <x:row r="154">
      <x:c r="A154" s="2" t="n">
        <x:v>45730</x:v>
      </x:c>
      <x:c r="B154" s="3" t="inlineStr">
        <x:is>
          <x:t xml:space="preserve">Grocery store</x:t>
        </x:is>
      </x:c>
      <x:c r="C154" s="3" t="inlineStr">
        <x:is>
          <x:t xml:space="preserve">Rent</x:t>
        </x:is>
      </x:c>
      <x:c r="D154" s="3" t="inlineStr">
        <x:is>
          <x:t xml:space="preserve">Checking</x:t>
        </x:is>
      </x:c>
      <x:c r="E154" s="4" t="n">
        <x:v>-2092.92</x:v>
      </x:c>
      <x:c r="F154" s="5">
        <x:f>IF(E154&gt;=0,"Income","Expense")</x:f>
      </x:c>
      <x:c r="G154" s="6">
        <x:f>ABS(E154)</x:f>
      </x:c>
      <x:c r="H154" s="4">
        <x:f>ROUND(E154,2)</x:f>
      </x:c>
      <x:c r="I154" s="5">
        <x:f>MONTH(A154)</x:f>
      </x:c>
      <x:c r="J154" s="5">
        <x:f>YEAR(A154)</x:f>
      </x:c>
      <x:c r="K154" s="5">
        <x:f>WEEKNUM(A154,2)</x:f>
      </x:c>
      <x:c r="L154" s="5">
        <x:f>ISOWEEKNUM(A154)</x:f>
      </x:c>
      <x:c r="M154" s="5">
        <x:f>TRIM(CLEAN(B154))</x:f>
      </x:c>
      <x:c r="N154" s="5">
        <x:f>UPPER(M154)</x:f>
      </x:c>
      <x:c r="O154" s="5">
        <x:f>LOWER(M154)</x:f>
      </x:c>
      <x:c r="P154" s="3">
        <x:f>PROPER(M154)</x:f>
      </x:c>
      <x:c r="Q154" s="3">
        <x:f>LEN(M154)</x:f>
      </x:c>
      <x:c r="R154" s="3">
        <x:f>ISBLANK(B154)</x:f>
      </x:c>
      <x:c r="S154" s="3">
        <x:f>SIGN(E154)</x:f>
      </x:c>
      <x:c r="T154" s="3">
        <x:f>ISEVEN(ROW())</x:f>
      </x:c>
      <x:c r="U154" s="3">
        <x:f>ISODD(ROW())</x:f>
      </x:c>
    </x:row>
    <x:row r="155">
      <x:c r="A155" s="2" t="n">
        <x:v>45738</x:v>
      </x:c>
      <x:c r="B155" s="3" t="inlineStr">
        <x:is>
          <x:t xml:space="preserve">Grocery store  </x:t>
        </x:is>
      </x:c>
      <x:c r="C155" s="3" t="inlineStr">
        <x:is>
          <x:t xml:space="preserve">Marketing</x:t>
        </x:is>
      </x:c>
      <x:c r="D155" s="3" t="inlineStr">
        <x:is>
          <x:t xml:space="preserve">Checking</x:t>
        </x:is>
      </x:c>
      <x:c r="E155" s="4" t="n">
        <x:v>-2475.11</x:v>
      </x:c>
      <x:c r="F155" s="5">
        <x:f>IF(E155&gt;=0,"Income","Expense")</x:f>
      </x:c>
      <x:c r="G155" s="6">
        <x:f>ABS(E155)</x:f>
      </x:c>
      <x:c r="H155" s="4">
        <x:f>ROUND(E155,2)</x:f>
      </x:c>
      <x:c r="I155" s="5">
        <x:f>MONTH(A155)</x:f>
      </x:c>
      <x:c r="J155" s="5">
        <x:f>YEAR(A155)</x:f>
      </x:c>
      <x:c r="K155" s="5">
        <x:f>WEEKNUM(A155,2)</x:f>
      </x:c>
      <x:c r="L155" s="5">
        <x:f>ISOWEEKNUM(A155)</x:f>
      </x:c>
      <x:c r="M155" s="5">
        <x:f>TRIM(CLEAN(B155))</x:f>
      </x:c>
      <x:c r="N155" s="5">
        <x:f>UPPER(M155)</x:f>
      </x:c>
      <x:c r="O155" s="5">
        <x:f>LOWER(M155)</x:f>
      </x:c>
      <x:c r="P155" s="3">
        <x:f>PROPER(M155)</x:f>
      </x:c>
      <x:c r="Q155" s="3">
        <x:f>LEN(M155)</x:f>
      </x:c>
      <x:c r="R155" s="3">
        <x:f>ISBLANK(B155)</x:f>
      </x:c>
      <x:c r="S155" s="3">
        <x:f>SIGN(E155)</x:f>
      </x:c>
      <x:c r="T155" s="3">
        <x:f>ISEVEN(ROW())</x:f>
      </x:c>
      <x:c r="U155" s="3">
        <x:f>ISODD(ROW())</x:f>
      </x:c>
    </x:row>
    <x:row r="156">
      <x:c r="A156" s="2" t="n">
        <x:v>46003</x:v>
      </x:c>
      <x:c r="B156" s="3" t="inlineStr">
        <x:is>
          <x:t xml:space="preserve">Tax refund</x:t>
        </x:is>
      </x:c>
      <x:c r="C156" s="3" t="inlineStr">
        <x:is>
          <x:t xml:space="preserve">Refund</x:t>
        </x:is>
      </x:c>
      <x:c r="D156" s="3" t="inlineStr">
        <x:is>
          <x:t xml:space="preserve">Savings</x:t>
        </x:is>
      </x:c>
      <x:c r="E156" s="4" t="n">
        <x:v>3413.97</x:v>
      </x:c>
      <x:c r="F156" s="5">
        <x:f>IF(E156&gt;=0,"Income","Expense")</x:f>
      </x:c>
      <x:c r="G156" s="6">
        <x:f>ABS(E156)</x:f>
      </x:c>
      <x:c r="H156" s="4">
        <x:f>ROUND(E156,2)</x:f>
      </x:c>
      <x:c r="I156" s="5">
        <x:f>MONTH(A156)</x:f>
      </x:c>
      <x:c r="J156" s="5">
        <x:f>YEAR(A156)</x:f>
      </x:c>
      <x:c r="K156" s="5">
        <x:f>WEEKNUM(A156,2)</x:f>
      </x:c>
      <x:c r="L156" s="5">
        <x:f>ISOWEEKNUM(A156)</x:f>
      </x:c>
      <x:c r="M156" s="5">
        <x:f>TRIM(CLEAN(B156))</x:f>
      </x:c>
      <x:c r="N156" s="5">
        <x:f>UPPER(M156)</x:f>
      </x:c>
      <x:c r="O156" s="5">
        <x:f>LOWER(M156)</x:f>
      </x:c>
      <x:c r="P156" s="3">
        <x:f>PROPER(M156)</x:f>
      </x:c>
      <x:c r="Q156" s="3">
        <x:f>LEN(M156)</x:f>
      </x:c>
      <x:c r="R156" s="3">
        <x:f>ISBLANK(B156)</x:f>
      </x:c>
      <x:c r="S156" s="3">
        <x:f>SIGN(E156)</x:f>
      </x:c>
      <x:c r="T156" s="3">
        <x:f>ISEVEN(ROW())</x:f>
      </x:c>
      <x:c r="U156" s="3">
        <x:f>ISODD(ROW())</x:f>
      </x:c>
    </x:row>
    <x:row r="157">
      <x:c r="A157" s="2" t="n">
        <x:v>45920</x:v>
      </x:c>
      <x:c r="B157" s="3" t="inlineStr">
        <x:is>
          <x:t xml:space="preserve">Monthly salary</x:t>
        </x:is>
      </x:c>
      <x:c r="C157" s="3" t="inlineStr">
        <x:is>
          <x:t xml:space="preserve">Refund</x:t>
        </x:is>
      </x:c>
      <x:c r="D157" s="3" t="inlineStr">
        <x:is>
          <x:t xml:space="preserve">Savings</x:t>
        </x:is>
      </x:c>
      <x:c r="E157" s="4" t="n">
        <x:v>2199.48</x:v>
      </x:c>
      <x:c r="F157" s="5">
        <x:f>IF(E157&gt;=0,"Income","Expense")</x:f>
      </x:c>
      <x:c r="G157" s="6">
        <x:f>ABS(E157)</x:f>
      </x:c>
      <x:c r="H157" s="4">
        <x:f>ROUND(E157,2)</x:f>
      </x:c>
      <x:c r="I157" s="5">
        <x:f>MONTH(A157)</x:f>
      </x:c>
      <x:c r="J157" s="5">
        <x:f>YEAR(A157)</x:f>
      </x:c>
      <x:c r="K157" s="5">
        <x:f>WEEKNUM(A157,2)</x:f>
      </x:c>
      <x:c r="L157" s="5">
        <x:f>ISOWEEKNUM(A157)</x:f>
      </x:c>
      <x:c r="M157" s="5">
        <x:f>TRIM(CLEAN(B157))</x:f>
      </x:c>
      <x:c r="N157" s="5">
        <x:f>UPPER(M157)</x:f>
      </x:c>
      <x:c r="O157" s="5">
        <x:f>LOWER(M157)</x:f>
      </x:c>
      <x:c r="P157" s="3">
        <x:f>PROPER(M157)</x:f>
      </x:c>
      <x:c r="Q157" s="3">
        <x:f>LEN(M157)</x:f>
      </x:c>
      <x:c r="R157" s="3">
        <x:f>ISBLANK(B157)</x:f>
      </x:c>
      <x:c r="S157" s="3">
        <x:f>SIGN(E157)</x:f>
      </x:c>
      <x:c r="T157" s="3">
        <x:f>ISEVEN(ROW())</x:f>
      </x:c>
      <x:c r="U157" s="3">
        <x:f>ISODD(ROW())</x:f>
      </x:c>
    </x:row>
    <x:row r="158">
      <x:c r="A158" s="2" t="n">
        <x:v>45770</x:v>
      </x:c>
      <x:c r="B158" s="3" t="inlineStr">
        <x:is>
          <x:t xml:space="preserve">Apartment rent</x:t>
        </x:is>
      </x:c>
      <x:c r="C158" s="3" t="inlineStr">
        <x:is>
          <x:t xml:space="preserve">Rent</x:t>
        </x:is>
      </x:c>
      <x:c r="D158" s="3" t="inlineStr">
        <x:is>
          <x:t xml:space="preserve">Checking</x:t>
        </x:is>
      </x:c>
      <x:c r="E158" s="4" t="n">
        <x:v>-584.3200000000001</x:v>
      </x:c>
      <x:c r="F158" s="5">
        <x:f>IF(E158&gt;=0,"Income","Expense")</x:f>
      </x:c>
      <x:c r="G158" s="6">
        <x:f>ABS(E158)</x:f>
      </x:c>
      <x:c r="H158" s="4">
        <x:f>ROUND(E158,2)</x:f>
      </x:c>
      <x:c r="I158" s="5">
        <x:f>MONTH(A158)</x:f>
      </x:c>
      <x:c r="J158" s="5">
        <x:f>YEAR(A158)</x:f>
      </x:c>
      <x:c r="K158" s="5">
        <x:f>WEEKNUM(A158,2)</x:f>
      </x:c>
      <x:c r="L158" s="5">
        <x:f>ISOWEEKNUM(A158)</x:f>
      </x:c>
      <x:c r="M158" s="5">
        <x:f>TRIM(CLEAN(B158))</x:f>
      </x:c>
      <x:c r="N158" s="5">
        <x:f>UPPER(M158)</x:f>
      </x:c>
      <x:c r="O158" s="5">
        <x:f>LOWER(M158)</x:f>
      </x:c>
      <x:c r="P158" s="3">
        <x:f>PROPER(M158)</x:f>
      </x:c>
      <x:c r="Q158" s="3">
        <x:f>LEN(M158)</x:f>
      </x:c>
      <x:c r="R158" s="3">
        <x:f>ISBLANK(B158)</x:f>
      </x:c>
      <x:c r="S158" s="3">
        <x:f>SIGN(E158)</x:f>
      </x:c>
      <x:c r="T158" s="3">
        <x:f>ISEVEN(ROW())</x:f>
      </x:c>
      <x:c r="U158" s="3">
        <x:f>ISODD(ROW())</x:f>
      </x:c>
    </x:row>
    <x:row r="159">
      <x:c r="A159" s="2" t="n">
        <x:v>45806</x:v>
      </x:c>
      <x:c r="B159" s="3" t="inlineStr">
        <x:is>
          <x:t xml:space="preserve">Estimated tax  </x:t>
        </x:is>
      </x:c>
      <x:c r="C159" s="3" t="inlineStr">
        <x:is>
          <x:t xml:space="preserve">Rent</x:t>
        </x:is>
      </x:c>
      <x:c r="D159" s="3" t="inlineStr">
        <x:is>
          <x:t xml:space="preserve">Checking</x:t>
        </x:is>
      </x:c>
      <x:c r="E159" s="4" t="n">
        <x:v>-2095.43</x:v>
      </x:c>
      <x:c r="F159" s="5">
        <x:f>IF(E159&gt;=0,"Income","Expense")</x:f>
      </x:c>
      <x:c r="G159" s="6">
        <x:f>ABS(E159)</x:f>
      </x:c>
      <x:c r="H159" s="4">
        <x:f>ROUND(E159,2)</x:f>
      </x:c>
      <x:c r="I159" s="5">
        <x:f>MONTH(A159)</x:f>
      </x:c>
      <x:c r="J159" s="5">
        <x:f>YEAR(A159)</x:f>
      </x:c>
      <x:c r="K159" s="5">
        <x:f>WEEKNUM(A159,2)</x:f>
      </x:c>
      <x:c r="L159" s="5">
        <x:f>ISOWEEKNUM(A159)</x:f>
      </x:c>
      <x:c r="M159" s="5">
        <x:f>TRIM(CLEAN(B159))</x:f>
      </x:c>
      <x:c r="N159" s="5">
        <x:f>UPPER(M159)</x:f>
      </x:c>
      <x:c r="O159" s="5">
        <x:f>LOWER(M159)</x:f>
      </x:c>
      <x:c r="P159" s="3">
        <x:f>PROPER(M159)</x:f>
      </x:c>
      <x:c r="Q159" s="3">
        <x:f>LEN(M159)</x:f>
      </x:c>
      <x:c r="R159" s="3">
        <x:f>ISBLANK(B159)</x:f>
      </x:c>
      <x:c r="S159" s="3">
        <x:f>SIGN(E159)</x:f>
      </x:c>
      <x:c r="T159" s="3">
        <x:f>ISEVEN(ROW())</x:f>
      </x:c>
      <x:c r="U159" s="3">
        <x:f>ISODD(ROW())</x:f>
      </x:c>
    </x:row>
    <x:row r="160">
      <x:c r="A160" s="2" t="n">
        <x:v>45775</x:v>
      </x:c>
      <x:c r="B160" s="3" t="inlineStr">
        <x:is>
          <x:t xml:space="preserve">Grocery store  
</x:t>
        </x:is>
      </x:c>
      <x:c r="C160" s="3" t="inlineStr">
        <x:is>
          <x:t xml:space="preserve">Marketing</x:t>
        </x:is>
      </x:c>
      <x:c r="D160" s="3" t="inlineStr">
        <x:is>
          <x:t xml:space="preserve">Savings</x:t>
        </x:is>
      </x:c>
      <x:c r="E160" s="4" t="n">
        <x:v>-1120.84</x:v>
      </x:c>
      <x:c r="F160" s="5">
        <x:f>IF(E160&gt;=0,"Income","Expense")</x:f>
      </x:c>
      <x:c r="G160" s="6">
        <x:f>ABS(E160)</x:f>
      </x:c>
      <x:c r="H160" s="4">
        <x:f>ROUND(E160,2)</x:f>
      </x:c>
      <x:c r="I160" s="5">
        <x:f>MONTH(A160)</x:f>
      </x:c>
      <x:c r="J160" s="5">
        <x:f>YEAR(A160)</x:f>
      </x:c>
      <x:c r="K160" s="5">
        <x:f>WEEKNUM(A160,2)</x:f>
      </x:c>
      <x:c r="L160" s="5">
        <x:f>ISOWEEKNUM(A160)</x:f>
      </x:c>
      <x:c r="M160" s="5">
        <x:f>TRIM(CLEAN(B160))</x:f>
      </x:c>
      <x:c r="N160" s="5">
        <x:f>UPPER(M160)</x:f>
      </x:c>
      <x:c r="O160" s="5">
        <x:f>LOWER(M160)</x:f>
      </x:c>
      <x:c r="P160" s="3">
        <x:f>PROPER(M160)</x:f>
      </x:c>
      <x:c r="Q160" s="3">
        <x:f>LEN(M160)</x:f>
      </x:c>
      <x:c r="R160" s="3">
        <x:f>ISBLANK(B160)</x:f>
      </x:c>
      <x:c r="S160" s="3">
        <x:f>SIGN(E160)</x:f>
      </x:c>
      <x:c r="T160" s="3">
        <x:f>ISEVEN(ROW())</x:f>
      </x:c>
      <x:c r="U160" s="3">
        <x:f>ISODD(ROW())</x:f>
      </x:c>
    </x:row>
    <x:row r="161">
      <x:c r="A161" s="2" t="n">
        <x:v>45697</x:v>
      </x:c>
      <x:c r="B161" s="3" t="inlineStr">
        <x:is>
          <x:t xml:space="preserve">Policy premium</x:t>
        </x:is>
      </x:c>
      <x:c r="C161" s="3" t="inlineStr">
        <x:is>
          <x:t xml:space="preserve">Insurance</x:t>
        </x:is>
      </x:c>
      <x:c r="D161" s="3" t="inlineStr">
        <x:is>
          <x:t xml:space="preserve">Credit Card</x:t>
        </x:is>
      </x:c>
      <x:c r="E161" s="4" t="n">
        <x:v>-1990.95</x:v>
      </x:c>
      <x:c r="F161" s="5">
        <x:f>IF(E161&gt;=0,"Income","Expense")</x:f>
      </x:c>
      <x:c r="G161" s="6">
        <x:f>ABS(E161)</x:f>
      </x:c>
      <x:c r="H161" s="4">
        <x:f>ROUND(E161,2)</x:f>
      </x:c>
      <x:c r="I161" s="5">
        <x:f>MONTH(A161)</x:f>
      </x:c>
      <x:c r="J161" s="5">
        <x:f>YEAR(A161)</x:f>
      </x:c>
      <x:c r="K161" s="5">
        <x:f>WEEKNUM(A161,2)</x:f>
      </x:c>
      <x:c r="L161" s="5">
        <x:f>ISOWEEKNUM(A161)</x:f>
      </x:c>
      <x:c r="M161" s="5">
        <x:f>TRIM(CLEAN(B161))</x:f>
      </x:c>
      <x:c r="N161" s="5">
        <x:f>UPPER(M161)</x:f>
      </x:c>
      <x:c r="O161" s="5">
        <x:f>LOWER(M161)</x:f>
      </x:c>
      <x:c r="P161" s="3">
        <x:f>PROPER(M161)</x:f>
      </x:c>
      <x:c r="Q161" s="3">
        <x:f>LEN(M161)</x:f>
      </x:c>
      <x:c r="R161" s="3">
        <x:f>ISBLANK(B161)</x:f>
      </x:c>
      <x:c r="S161" s="3">
        <x:f>SIGN(E161)</x:f>
      </x:c>
      <x:c r="T161" s="3">
        <x:f>ISEVEN(ROW())</x:f>
      </x:c>
      <x:c r="U161" s="3">
        <x:f>ISODD(ROW())</x:f>
      </x:c>
    </x:row>
    <x:row r="162">
      <x:c r="A162" s="2" t="n">
        <x:v>45824</x:v>
      </x:c>
      <x:c r="B162" s="3" t="inlineStr">
        <x:is>
          <x:t xml:space="preserve">Bank interest</x:t>
        </x:is>
      </x:c>
      <x:c r="C162" s="3" t="inlineStr">
        <x:is>
          <x:t xml:space="preserve">Refund</x:t>
        </x:is>
      </x:c>
      <x:c r="D162" s="3" t="inlineStr">
        <x:is>
          <x:t xml:space="preserve">Checking</x:t>
        </x:is>
      </x:c>
      <x:c r="E162" s="4" t="n">
        <x:v>1028.78</x:v>
      </x:c>
      <x:c r="F162" s="5">
        <x:f>IF(E162&gt;=0,"Income","Expense")</x:f>
      </x:c>
      <x:c r="G162" s="6">
        <x:f>ABS(E162)</x:f>
      </x:c>
      <x:c r="H162" s="4">
        <x:f>ROUND(E162,2)</x:f>
      </x:c>
      <x:c r="I162" s="5">
        <x:f>MONTH(A162)</x:f>
      </x:c>
      <x:c r="J162" s="5">
        <x:f>YEAR(A162)</x:f>
      </x:c>
      <x:c r="K162" s="5">
        <x:f>WEEKNUM(A162,2)</x:f>
      </x:c>
      <x:c r="L162" s="5">
        <x:f>ISOWEEKNUM(A162)</x:f>
      </x:c>
      <x:c r="M162" s="5">
        <x:f>TRIM(CLEAN(B162))</x:f>
      </x:c>
      <x:c r="N162" s="5">
        <x:f>UPPER(M162)</x:f>
      </x:c>
      <x:c r="O162" s="5">
        <x:f>LOWER(M162)</x:f>
      </x:c>
      <x:c r="P162" s="3">
        <x:f>PROPER(M162)</x:f>
      </x:c>
      <x:c r="Q162" s="3">
        <x:f>LEN(M162)</x:f>
      </x:c>
      <x:c r="R162" s="3">
        <x:f>ISBLANK(B162)</x:f>
      </x:c>
      <x:c r="S162" s="3">
        <x:f>SIGN(E162)</x:f>
      </x:c>
      <x:c r="T162" s="3">
        <x:f>ISEVEN(ROW())</x:f>
      </x:c>
      <x:c r="U162" s="3">
        <x:f>ISODD(ROW())</x:f>
      </x:c>
    </x:row>
    <x:row r="163">
      <x:c r="A163" s="2" t="n">
        <x:v>45926</x:v>
      </x:c>
      <x:c r="B163" s="3" t="inlineStr">
        <x:is>
          <x:t xml:space="preserve">Bank interest  </x:t>
        </x:is>
      </x:c>
      <x:c r="C163" s="3" t="inlineStr">
        <x:is>
          <x:t xml:space="preserve">Interest</x:t>
        </x:is>
      </x:c>
      <x:c r="D163" s="3" t="inlineStr">
        <x:is>
          <x:t xml:space="preserve">Checking</x:t>
        </x:is>
      </x:c>
      <x:c r="E163" s="4" t="n">
        <x:v>1829.43</x:v>
      </x:c>
      <x:c r="F163" s="5">
        <x:f>IF(E163&gt;=0,"Income","Expense")</x:f>
      </x:c>
      <x:c r="G163" s="6">
        <x:f>ABS(E163)</x:f>
      </x:c>
      <x:c r="H163" s="4">
        <x:f>ROUND(E163,2)</x:f>
      </x:c>
      <x:c r="I163" s="5">
        <x:f>MONTH(A163)</x:f>
      </x:c>
      <x:c r="J163" s="5">
        <x:f>YEAR(A163)</x:f>
      </x:c>
      <x:c r="K163" s="5">
        <x:f>WEEKNUM(A163,2)</x:f>
      </x:c>
      <x:c r="L163" s="5">
        <x:f>ISOWEEKNUM(A163)</x:f>
      </x:c>
      <x:c r="M163" s="5">
        <x:f>TRIM(CLEAN(B163))</x:f>
      </x:c>
      <x:c r="N163" s="5">
        <x:f>UPPER(M163)</x:f>
      </x:c>
      <x:c r="O163" s="5">
        <x:f>LOWER(M163)</x:f>
      </x:c>
      <x:c r="P163" s="3">
        <x:f>PROPER(M163)</x:f>
      </x:c>
      <x:c r="Q163" s="3">
        <x:f>LEN(M163)</x:f>
      </x:c>
      <x:c r="R163" s="3">
        <x:f>ISBLANK(B163)</x:f>
      </x:c>
      <x:c r="S163" s="3">
        <x:f>SIGN(E163)</x:f>
      </x:c>
      <x:c r="T163" s="3">
        <x:f>ISEVEN(ROW())</x:f>
      </x:c>
      <x:c r="U163" s="3">
        <x:f>ISODD(ROW())</x:f>
      </x:c>
    </x:row>
    <x:row r="164">
      <x:c r="A164" s="2" t="n">
        <x:v>45929</x:v>
      </x:c>
      <x:c r="B164" s="3" t="inlineStr">
        <x:is>
          <x:t xml:space="preserve">Ad spend</x:t>
        </x:is>
      </x:c>
      <x:c r="C164" s="3" t="inlineStr">
        <x:is>
          <x:t xml:space="preserve">Marketing</x:t>
        </x:is>
      </x:c>
      <x:c r="D164" s="3" t="inlineStr">
        <x:is>
          <x:t xml:space="preserve">Savings</x:t>
        </x:is>
      </x:c>
      <x:c r="E164" s="4" t="n">
        <x:v>-2040.75</x:v>
      </x:c>
      <x:c r="F164" s="5">
        <x:f>IF(E164&gt;=0,"Income","Expense")</x:f>
      </x:c>
      <x:c r="G164" s="6">
        <x:f>ABS(E164)</x:f>
      </x:c>
      <x:c r="H164" s="4">
        <x:f>ROUND(E164,2)</x:f>
      </x:c>
      <x:c r="I164" s="5">
        <x:f>MONTH(A164)</x:f>
      </x:c>
      <x:c r="J164" s="5">
        <x:f>YEAR(A164)</x:f>
      </x:c>
      <x:c r="K164" s="5">
        <x:f>WEEKNUM(A164,2)</x:f>
      </x:c>
      <x:c r="L164" s="5">
        <x:f>ISOWEEKNUM(A164)</x:f>
      </x:c>
      <x:c r="M164" s="5">
        <x:f>TRIM(CLEAN(B164))</x:f>
      </x:c>
      <x:c r="N164" s="5">
        <x:f>UPPER(M164)</x:f>
      </x:c>
      <x:c r="O164" s="5">
        <x:f>LOWER(M164)</x:f>
      </x:c>
      <x:c r="P164" s="3">
        <x:f>PROPER(M164)</x:f>
      </x:c>
      <x:c r="Q164" s="3">
        <x:f>LEN(M164)</x:f>
      </x:c>
      <x:c r="R164" s="3">
        <x:f>ISBLANK(B164)</x:f>
      </x:c>
      <x:c r="S164" s="3">
        <x:f>SIGN(E164)</x:f>
      </x:c>
      <x:c r="T164" s="3">
        <x:f>ISEVEN(ROW())</x:f>
      </x:c>
      <x:c r="U164" s="3">
        <x:f>ISODD(ROW())</x:f>
      </x:c>
    </x:row>
    <x:row r="165">
      <x:c r="A165" s="2" t="n">
        <x:v>45732</x:v>
      </x:c>
      <x:c r="B165" s="3" t="inlineStr">
        <x:is>
          <x:t xml:space="preserve">Client invoice  </x:t>
        </x:is>
      </x:c>
      <x:c r="C165" s="3" t="inlineStr">
        <x:is>
          <x:t xml:space="preserve">Consulting</x:t>
        </x:is>
      </x:c>
      <x:c r="D165" s="3" t="inlineStr">
        <x:is>
          <x:t xml:space="preserve">Checking</x:t>
        </x:is>
      </x:c>
      <x:c r="E165" s="4" t="n">
        <x:v>5061.29</x:v>
      </x:c>
      <x:c r="F165" s="5">
        <x:f>IF(E165&gt;=0,"Income","Expense")</x:f>
      </x:c>
      <x:c r="G165" s="6">
        <x:f>ABS(E165)</x:f>
      </x:c>
      <x:c r="H165" s="4">
        <x:f>ROUND(E165,2)</x:f>
      </x:c>
      <x:c r="I165" s="5">
        <x:f>MONTH(A165)</x:f>
      </x:c>
      <x:c r="J165" s="5">
        <x:f>YEAR(A165)</x:f>
      </x:c>
      <x:c r="K165" s="5">
        <x:f>WEEKNUM(A165,2)</x:f>
      </x:c>
      <x:c r="L165" s="5">
        <x:f>ISOWEEKNUM(A165)</x:f>
      </x:c>
      <x:c r="M165" s="5">
        <x:f>TRIM(CLEAN(B165))</x:f>
      </x:c>
      <x:c r="N165" s="5">
        <x:f>UPPER(M165)</x:f>
      </x:c>
      <x:c r="O165" s="5">
        <x:f>LOWER(M165)</x:f>
      </x:c>
      <x:c r="P165" s="3">
        <x:f>PROPER(M165)</x:f>
      </x:c>
      <x:c r="Q165" s="3">
        <x:f>LEN(M165)</x:f>
      </x:c>
      <x:c r="R165" s="3">
        <x:f>ISBLANK(B165)</x:f>
      </x:c>
      <x:c r="S165" s="3">
        <x:f>SIGN(E165)</x:f>
      </x:c>
      <x:c r="T165" s="3">
        <x:f>ISEVEN(ROW())</x:f>
      </x:c>
      <x:c r="U165" s="3">
        <x:f>ISODD(ROW())</x:f>
      </x:c>
    </x:row>
    <x:row r="166">
      <x:c r="A166" s="2" t="n">
        <x:v>45910</x:v>
      </x:c>
      <x:c r="B166" s="3" t="inlineStr">
        <x:is>
          <x:t xml:space="preserve">Ad spend</x:t>
        </x:is>
      </x:c>
      <x:c r="C166" s="3" t="inlineStr">
        <x:is>
          <x:t xml:space="preserve">Tax</x:t>
        </x:is>
      </x:c>
      <x:c r="D166" s="3" t="inlineStr">
        <x:is>
          <x:t xml:space="preserve">Savings</x:t>
        </x:is>
      </x:c>
      <x:c r="E166" s="4" t="n">
        <x:v>-2421.93</x:v>
      </x:c>
      <x:c r="F166" s="5">
        <x:f>IF(E166&gt;=0,"Income","Expense")</x:f>
      </x:c>
      <x:c r="G166" s="6">
        <x:f>ABS(E166)</x:f>
      </x:c>
      <x:c r="H166" s="4">
        <x:f>ROUND(E166,2)</x:f>
      </x:c>
      <x:c r="I166" s="5">
        <x:f>MONTH(A166)</x:f>
      </x:c>
      <x:c r="J166" s="5">
        <x:f>YEAR(A166)</x:f>
      </x:c>
      <x:c r="K166" s="5">
        <x:f>WEEKNUM(A166,2)</x:f>
      </x:c>
      <x:c r="L166" s="5">
        <x:f>ISOWEEKNUM(A166)</x:f>
      </x:c>
      <x:c r="M166" s="5">
        <x:f>TRIM(CLEAN(B166))</x:f>
      </x:c>
      <x:c r="N166" s="5">
        <x:f>UPPER(M166)</x:f>
      </x:c>
      <x:c r="O166" s="5">
        <x:f>LOWER(M166)</x:f>
      </x:c>
      <x:c r="P166" s="3">
        <x:f>PROPER(M166)</x:f>
      </x:c>
      <x:c r="Q166" s="3">
        <x:f>LEN(M166)</x:f>
      </x:c>
      <x:c r="R166" s="3">
        <x:f>ISBLANK(B166)</x:f>
      </x:c>
      <x:c r="S166" s="3">
        <x:f>SIGN(E166)</x:f>
      </x:c>
      <x:c r="T166" s="3">
        <x:f>ISEVEN(ROW())</x:f>
      </x:c>
      <x:c r="U166" s="3">
        <x:f>ISODD(ROW())</x:f>
      </x:c>
    </x:row>
    <x:row r="167">
      <x:c r="A167" s="2" t="n">
        <x:v>45898</x:v>
      </x:c>
      <x:c r="B167" s="3" t="inlineStr">
        <x:is>
          <x:t xml:space="preserve">SaaS subscription</x:t>
        </x:is>
      </x:c>
      <x:c r="C167" s="3" t="inlineStr">
        <x:is>
          <x:t xml:space="preserve">Software</x:t>
        </x:is>
      </x:c>
      <x:c r="D167" s="3" t="inlineStr">
        <x:is>
          <x:t xml:space="preserve">Credit Card</x:t>
        </x:is>
      </x:c>
      <x:c r="E167" s="4" t="n">
        <x:v>-1662.1</x:v>
      </x:c>
      <x:c r="F167" s="5">
        <x:f>IF(E167&gt;=0,"Income","Expense")</x:f>
      </x:c>
      <x:c r="G167" s="6">
        <x:f>ABS(E167)</x:f>
      </x:c>
      <x:c r="H167" s="4">
        <x:f>ROUND(E167,2)</x:f>
      </x:c>
      <x:c r="I167" s="5">
        <x:f>MONTH(A167)</x:f>
      </x:c>
      <x:c r="J167" s="5">
        <x:f>YEAR(A167)</x:f>
      </x:c>
      <x:c r="K167" s="5">
        <x:f>WEEKNUM(A167,2)</x:f>
      </x:c>
      <x:c r="L167" s="5">
        <x:f>ISOWEEKNUM(A167)</x:f>
      </x:c>
      <x:c r="M167" s="5">
        <x:f>TRIM(CLEAN(B167))</x:f>
      </x:c>
      <x:c r="N167" s="5">
        <x:f>UPPER(M167)</x:f>
      </x:c>
      <x:c r="O167" s="5">
        <x:f>LOWER(M167)</x:f>
      </x:c>
      <x:c r="P167" s="3">
        <x:f>PROPER(M167)</x:f>
      </x:c>
      <x:c r="Q167" s="3">
        <x:f>LEN(M167)</x:f>
      </x:c>
      <x:c r="R167" s="3">
        <x:f>ISBLANK(B167)</x:f>
      </x:c>
      <x:c r="S167" s="3">
        <x:f>SIGN(E167)</x:f>
      </x:c>
      <x:c r="T167" s="3">
        <x:f>ISEVEN(ROW())</x:f>
      </x:c>
      <x:c r="U167" s="3">
        <x:f>ISODD(ROW())</x:f>
      </x:c>
    </x:row>
    <x:row r="168">
      <x:c r="A168" s="2" t="n">
        <x:v>45889</x:v>
      </x:c>
      <x:c r="B168" s="3" t="inlineStr">
        <x:is>
          <x:t xml:space="preserve">Bank interest</x:t>
        </x:is>
      </x:c>
      <x:c r="C168" s="3" t="inlineStr">
        <x:is>
          <x:t xml:space="preserve">Interest</x:t>
        </x:is>
      </x:c>
      <x:c r="D168" s="3" t="inlineStr">
        <x:is>
          <x:t xml:space="preserve">Checking</x:t>
        </x:is>
      </x:c>
      <x:c r="E168" s="4" t="n">
        <x:v>960.39</x:v>
      </x:c>
      <x:c r="F168" s="5">
        <x:f>IF(E168&gt;=0,"Income","Expense")</x:f>
      </x:c>
      <x:c r="G168" s="6">
        <x:f>ABS(E168)</x:f>
      </x:c>
      <x:c r="H168" s="4">
        <x:f>ROUND(E168,2)</x:f>
      </x:c>
      <x:c r="I168" s="5">
        <x:f>MONTH(A168)</x:f>
      </x:c>
      <x:c r="J168" s="5">
        <x:f>YEAR(A168)</x:f>
      </x:c>
      <x:c r="K168" s="5">
        <x:f>WEEKNUM(A168,2)</x:f>
      </x:c>
      <x:c r="L168" s="5">
        <x:f>ISOWEEKNUM(A168)</x:f>
      </x:c>
      <x:c r="M168" s="5">
        <x:f>TRIM(CLEAN(B168))</x:f>
      </x:c>
      <x:c r="N168" s="5">
        <x:f>UPPER(M168)</x:f>
      </x:c>
      <x:c r="O168" s="5">
        <x:f>LOWER(M168)</x:f>
      </x:c>
      <x:c r="P168" s="3">
        <x:f>PROPER(M168)</x:f>
      </x:c>
      <x:c r="Q168" s="3">
        <x:f>LEN(M168)</x:f>
      </x:c>
      <x:c r="R168" s="3">
        <x:f>ISBLANK(B168)</x:f>
      </x:c>
      <x:c r="S168" s="3">
        <x:f>SIGN(E168)</x:f>
      </x:c>
      <x:c r="T168" s="3">
        <x:f>ISEVEN(ROW())</x:f>
      </x:c>
      <x:c r="U168" s="3">
        <x:f>ISODD(ROW())</x:f>
      </x:c>
    </x:row>
    <x:row r="169">
      <x:c r="A169" s="2" t="n">
        <x:v>45894</x:v>
      </x:c>
      <x:c r="B169" s="3" t="inlineStr">
        <x:is>
          <x:t xml:space="preserve">Estimated tax</x:t>
        </x:is>
      </x:c>
      <x:c r="C169" s="3" t="inlineStr">
        <x:is>
          <x:t xml:space="preserve">Rent</x:t>
        </x:is>
      </x:c>
      <x:c r="D169" s="3" t="inlineStr">
        <x:is>
          <x:t xml:space="preserve">Savings</x:t>
        </x:is>
      </x:c>
      <x:c r="E169" s="4" t="n">
        <x:v>-2546.7</x:v>
      </x:c>
      <x:c r="F169" s="5">
        <x:f>IF(E169&gt;=0,"Income","Expense")</x:f>
      </x:c>
      <x:c r="G169" s="6">
        <x:f>ABS(E169)</x:f>
      </x:c>
      <x:c r="H169" s="4">
        <x:f>ROUND(E169,2)</x:f>
      </x:c>
      <x:c r="I169" s="5">
        <x:f>MONTH(A169)</x:f>
      </x:c>
      <x:c r="J169" s="5">
        <x:f>YEAR(A169)</x:f>
      </x:c>
      <x:c r="K169" s="5">
        <x:f>WEEKNUM(A169,2)</x:f>
      </x:c>
      <x:c r="L169" s="5">
        <x:f>ISOWEEKNUM(A169)</x:f>
      </x:c>
      <x:c r="M169" s="5">
        <x:f>TRIM(CLEAN(B169))</x:f>
      </x:c>
      <x:c r="N169" s="5">
        <x:f>UPPER(M169)</x:f>
      </x:c>
      <x:c r="O169" s="5">
        <x:f>LOWER(M169)</x:f>
      </x:c>
      <x:c r="P169" s="3">
        <x:f>PROPER(M169)</x:f>
      </x:c>
      <x:c r="Q169" s="3">
        <x:f>LEN(M169)</x:f>
      </x:c>
      <x:c r="R169" s="3">
        <x:f>ISBLANK(B169)</x:f>
      </x:c>
      <x:c r="S169" s="3">
        <x:f>SIGN(E169)</x:f>
      </x:c>
      <x:c r="T169" s="3">
        <x:f>ISEVEN(ROW())</x:f>
      </x:c>
      <x:c r="U169" s="3">
        <x:f>ISODD(ROW())</x:f>
      </x:c>
    </x:row>
    <x:row r="170">
      <x:c r="A170" s="2" t="n">
        <x:v>45901</x:v>
      </x:c>
      <x:c r="B170" s="3" t="inlineStr">
        <x:is>
          <x:t xml:space="preserve">Estimated tax
</x:t>
        </x:is>
      </x:c>
      <x:c r="C170" s="3" t="inlineStr">
        <x:is>
          <x:t xml:space="preserve">Rent</x:t>
        </x:is>
      </x:c>
      <x:c r="D170" s="3" t="inlineStr">
        <x:is>
          <x:t xml:space="preserve">Credit Card</x:t>
        </x:is>
      </x:c>
      <x:c r="E170" s="4" t="n">
        <x:v>-303.25</x:v>
      </x:c>
      <x:c r="F170" s="5">
        <x:f>IF(E170&gt;=0,"Income","Expense")</x:f>
      </x:c>
      <x:c r="G170" s="6">
        <x:f>ABS(E170)</x:f>
      </x:c>
      <x:c r="H170" s="4">
        <x:f>ROUND(E170,2)</x:f>
      </x:c>
      <x:c r="I170" s="5">
        <x:f>MONTH(A170)</x:f>
      </x:c>
      <x:c r="J170" s="5">
        <x:f>YEAR(A170)</x:f>
      </x:c>
      <x:c r="K170" s="5">
        <x:f>WEEKNUM(A170,2)</x:f>
      </x:c>
      <x:c r="L170" s="5">
        <x:f>ISOWEEKNUM(A170)</x:f>
      </x:c>
      <x:c r="M170" s="5">
        <x:f>TRIM(CLEAN(B170))</x:f>
      </x:c>
      <x:c r="N170" s="5">
        <x:f>UPPER(M170)</x:f>
      </x:c>
      <x:c r="O170" s="5">
        <x:f>LOWER(M170)</x:f>
      </x:c>
      <x:c r="P170" s="3">
        <x:f>PROPER(M170)</x:f>
      </x:c>
      <x:c r="Q170" s="3">
        <x:f>LEN(M170)</x:f>
      </x:c>
      <x:c r="R170" s="3">
        <x:f>ISBLANK(B170)</x:f>
      </x:c>
      <x:c r="S170" s="3">
        <x:f>SIGN(E170)</x:f>
      </x:c>
      <x:c r="T170" s="3">
        <x:f>ISEVEN(ROW())</x:f>
      </x:c>
      <x:c r="U170" s="3">
        <x:f>ISODD(ROW())</x:f>
      </x:c>
    </x:row>
    <x:row r="171">
      <x:c r="A171" s="2" t="n">
        <x:v>45988</x:v>
      </x:c>
      <x:c r="B171" s="3" t="inlineStr">
        <x:is>
          <x:t xml:space="preserve">Tax refund</x:t>
        </x:is>
      </x:c>
      <x:c r="C171" s="3" t="inlineStr">
        <x:is>
          <x:t xml:space="preserve">Consulting</x:t>
        </x:is>
      </x:c>
      <x:c r="D171" s="3" t="inlineStr">
        <x:is>
          <x:t xml:space="preserve">Checking</x:t>
        </x:is>
      </x:c>
      <x:c r="E171" s="4" t="n">
        <x:v>6445.92</x:v>
      </x:c>
      <x:c r="F171" s="5">
        <x:f>IF(E171&gt;=0,"Income","Expense")</x:f>
      </x:c>
      <x:c r="G171" s="6">
        <x:f>ABS(E171)</x:f>
      </x:c>
      <x:c r="H171" s="4">
        <x:f>ROUND(E171,2)</x:f>
      </x:c>
      <x:c r="I171" s="5">
        <x:f>MONTH(A171)</x:f>
      </x:c>
      <x:c r="J171" s="5">
        <x:f>YEAR(A171)</x:f>
      </x:c>
      <x:c r="K171" s="5">
        <x:f>WEEKNUM(A171,2)</x:f>
      </x:c>
      <x:c r="L171" s="5">
        <x:f>ISOWEEKNUM(A171)</x:f>
      </x:c>
      <x:c r="M171" s="5">
        <x:f>TRIM(CLEAN(B171))</x:f>
      </x:c>
      <x:c r="N171" s="5">
        <x:f>UPPER(M171)</x:f>
      </x:c>
      <x:c r="O171" s="5">
        <x:f>LOWER(M171)</x:f>
      </x:c>
      <x:c r="P171" s="3">
        <x:f>PROPER(M171)</x:f>
      </x:c>
      <x:c r="Q171" s="3">
        <x:f>LEN(M171)</x:f>
      </x:c>
      <x:c r="R171" s="3">
        <x:f>ISBLANK(B171)</x:f>
      </x:c>
      <x:c r="S171" s="3">
        <x:f>SIGN(E171)</x:f>
      </x:c>
      <x:c r="T171" s="3">
        <x:f>ISEVEN(ROW())</x:f>
      </x:c>
      <x:c r="U171" s="3">
        <x:f>ISODD(ROW())</x:f>
      </x:c>
    </x:row>
    <x:row r="172">
      <x:c r="A172" s="2" t="n">
        <x:v>45856</x:v>
      </x:c>
      <x:c r="B172" s="3" t="inlineStr">
        <x:is>
          <x:t xml:space="preserve">Apartment rent</x:t>
        </x:is>
      </x:c>
      <x:c r="C172" s="3" t="inlineStr">
        <x:is>
          <x:t xml:space="preserve">Marketing</x:t>
        </x:is>
      </x:c>
      <x:c r="D172" s="3" t="inlineStr">
        <x:is>
          <x:t xml:space="preserve">Savings</x:t>
        </x:is>
      </x:c>
      <x:c r="E172" s="4" t="n">
        <x:v>-2213</x:v>
      </x:c>
      <x:c r="F172" s="5">
        <x:f>IF(E172&gt;=0,"Income","Expense")</x:f>
      </x:c>
      <x:c r="G172" s="6">
        <x:f>ABS(E172)</x:f>
      </x:c>
      <x:c r="H172" s="4">
        <x:f>ROUND(E172,2)</x:f>
      </x:c>
      <x:c r="I172" s="5">
        <x:f>MONTH(A172)</x:f>
      </x:c>
      <x:c r="J172" s="5">
        <x:f>YEAR(A172)</x:f>
      </x:c>
      <x:c r="K172" s="5">
        <x:f>WEEKNUM(A172,2)</x:f>
      </x:c>
      <x:c r="L172" s="5">
        <x:f>ISOWEEKNUM(A172)</x:f>
      </x:c>
      <x:c r="M172" s="5">
        <x:f>TRIM(CLEAN(B172))</x:f>
      </x:c>
      <x:c r="N172" s="5">
        <x:f>UPPER(M172)</x:f>
      </x:c>
      <x:c r="O172" s="5">
        <x:f>LOWER(M172)</x:f>
      </x:c>
      <x:c r="P172" s="3">
        <x:f>PROPER(M172)</x:f>
      </x:c>
      <x:c r="Q172" s="3">
        <x:f>LEN(M172)</x:f>
      </x:c>
      <x:c r="R172" s="3">
        <x:f>ISBLANK(B172)</x:f>
      </x:c>
      <x:c r="S172" s="3">
        <x:f>SIGN(E172)</x:f>
      </x:c>
      <x:c r="T172" s="3">
        <x:f>ISEVEN(ROW())</x:f>
      </x:c>
      <x:c r="U172" s="3">
        <x:f>ISODD(ROW())</x:f>
      </x:c>
    </x:row>
    <x:row r="173">
      <x:c r="A173" s="2" t="n">
        <x:v>45943</x:v>
      </x:c>
      <x:c r="B173" s="3" t="inlineStr">
        <x:is>
          <x:t xml:space="preserve">SaaS subscription</x:t>
        </x:is>
      </x:c>
      <x:c r="C173" s="3" t="inlineStr">
        <x:is>
          <x:t xml:space="preserve">Software</x:t>
        </x:is>
      </x:c>
      <x:c r="D173" s="3" t="inlineStr">
        <x:is>
          <x:t xml:space="preserve">Savings</x:t>
        </x:is>
      </x:c>
      <x:c r="E173" s="4" t="n">
        <x:v>-2030.6</x:v>
      </x:c>
      <x:c r="F173" s="5">
        <x:f>IF(E173&gt;=0,"Income","Expense")</x:f>
      </x:c>
      <x:c r="G173" s="6">
        <x:f>ABS(E173)</x:f>
      </x:c>
      <x:c r="H173" s="4">
        <x:f>ROUND(E173,2)</x:f>
      </x:c>
      <x:c r="I173" s="5">
        <x:f>MONTH(A173)</x:f>
      </x:c>
      <x:c r="J173" s="5">
        <x:f>YEAR(A173)</x:f>
      </x:c>
      <x:c r="K173" s="5">
        <x:f>WEEKNUM(A173,2)</x:f>
      </x:c>
      <x:c r="L173" s="5">
        <x:f>ISOWEEKNUM(A173)</x:f>
      </x:c>
      <x:c r="M173" s="5">
        <x:f>TRIM(CLEAN(B173))</x:f>
      </x:c>
      <x:c r="N173" s="5">
        <x:f>UPPER(M173)</x:f>
      </x:c>
      <x:c r="O173" s="5">
        <x:f>LOWER(M173)</x:f>
      </x:c>
      <x:c r="P173" s="3">
        <x:f>PROPER(M173)</x:f>
      </x:c>
      <x:c r="Q173" s="3">
        <x:f>LEN(M173)</x:f>
      </x:c>
      <x:c r="R173" s="3">
        <x:f>ISBLANK(B173)</x:f>
      </x:c>
      <x:c r="S173" s="3">
        <x:f>SIGN(E173)</x:f>
      </x:c>
      <x:c r="T173" s="3">
        <x:f>ISEVEN(ROW())</x:f>
      </x:c>
      <x:c r="U173" s="3">
        <x:f>ISODD(ROW())</x:f>
      </x:c>
    </x:row>
    <x:row r="174">
      <x:c r="A174" s="2" t="n">
        <x:v>45734</x:v>
      </x:c>
      <x:c r="B174" s="3" t="inlineStr">
        <x:is>
          <x:t xml:space="preserve">Ad spend</x:t>
        </x:is>
      </x:c>
      <x:c r="C174" s="3" t="inlineStr">
        <x:is>
          <x:t xml:space="preserve">Utilities</x:t>
        </x:is>
      </x:c>
      <x:c r="D174" s="3" t="inlineStr">
        <x:is>
          <x:t xml:space="preserve">Savings</x:t>
        </x:is>
      </x:c>
      <x:c r="E174" s="4" t="n">
        <x:v>-879</x:v>
      </x:c>
      <x:c r="F174" s="5">
        <x:f>IF(E174&gt;=0,"Income","Expense")</x:f>
      </x:c>
      <x:c r="G174" s="6">
        <x:f>ABS(E174)</x:f>
      </x:c>
      <x:c r="H174" s="4">
        <x:f>ROUND(E174,2)</x:f>
      </x:c>
      <x:c r="I174" s="5">
        <x:f>MONTH(A174)</x:f>
      </x:c>
      <x:c r="J174" s="5">
        <x:f>YEAR(A174)</x:f>
      </x:c>
      <x:c r="K174" s="5">
        <x:f>WEEKNUM(A174,2)</x:f>
      </x:c>
      <x:c r="L174" s="5">
        <x:f>ISOWEEKNUM(A174)</x:f>
      </x:c>
      <x:c r="M174" s="5">
        <x:f>TRIM(CLEAN(B174))</x:f>
      </x:c>
      <x:c r="N174" s="5">
        <x:f>UPPER(M174)</x:f>
      </x:c>
      <x:c r="O174" s="5">
        <x:f>LOWER(M174)</x:f>
      </x:c>
      <x:c r="P174" s="3">
        <x:f>PROPER(M174)</x:f>
      </x:c>
      <x:c r="Q174" s="3">
        <x:f>LEN(M174)</x:f>
      </x:c>
      <x:c r="R174" s="3">
        <x:f>ISBLANK(B174)</x:f>
      </x:c>
      <x:c r="S174" s="3">
        <x:f>SIGN(E174)</x:f>
      </x:c>
      <x:c r="T174" s="3">
        <x:f>ISEVEN(ROW())</x:f>
      </x:c>
      <x:c r="U174" s="3">
        <x:f>ISODD(ROW())</x:f>
      </x:c>
    </x:row>
    <x:row r="175">
      <x:c r="A175" s="2" t="n">
        <x:v>45962</x:v>
      </x:c>
      <x:c r="B175" s="3" t="inlineStr">
        <x:is>
          <x:t xml:space="preserve">SaaS subscription</x:t>
        </x:is>
      </x:c>
      <x:c r="C175" s="3" t="inlineStr">
        <x:is>
          <x:t xml:space="preserve">Groceries</x:t>
        </x:is>
      </x:c>
      <x:c r="D175" s="3" t="inlineStr">
        <x:is>
          <x:t xml:space="preserve">Savings</x:t>
        </x:is>
      </x:c>
      <x:c r="E175" s="4" t="n">
        <x:v>-1571.6</x:v>
      </x:c>
      <x:c r="F175" s="5">
        <x:f>IF(E175&gt;=0,"Income","Expense")</x:f>
      </x:c>
      <x:c r="G175" s="6">
        <x:f>ABS(E175)</x:f>
      </x:c>
      <x:c r="H175" s="4">
        <x:f>ROUND(E175,2)</x:f>
      </x:c>
      <x:c r="I175" s="5">
        <x:f>MONTH(A175)</x:f>
      </x:c>
      <x:c r="J175" s="5">
        <x:f>YEAR(A175)</x:f>
      </x:c>
      <x:c r="K175" s="5">
        <x:f>WEEKNUM(A175,2)</x:f>
      </x:c>
      <x:c r="L175" s="5">
        <x:f>ISOWEEKNUM(A175)</x:f>
      </x:c>
      <x:c r="M175" s="5">
        <x:f>TRIM(CLEAN(B175))</x:f>
      </x:c>
      <x:c r="N175" s="5">
        <x:f>UPPER(M175)</x:f>
      </x:c>
      <x:c r="O175" s="5">
        <x:f>LOWER(M175)</x:f>
      </x:c>
      <x:c r="P175" s="3">
        <x:f>PROPER(M175)</x:f>
      </x:c>
      <x:c r="Q175" s="3">
        <x:f>LEN(M175)</x:f>
      </x:c>
      <x:c r="R175" s="3">
        <x:f>ISBLANK(B175)</x:f>
      </x:c>
      <x:c r="S175" s="3">
        <x:f>SIGN(E175)</x:f>
      </x:c>
      <x:c r="T175" s="3">
        <x:f>ISEVEN(ROW())</x:f>
      </x:c>
      <x:c r="U175" s="3">
        <x:f>ISODD(ROW())</x:f>
      </x:c>
    </x:row>
    <x:row r="176">
      <x:c r="A176" s="2" t="n">
        <x:v>46001</x:v>
      </x:c>
      <x:c r="B176" s="3" t="inlineStr">
        <x:is>
          <x:t xml:space="preserve">Policy premium</x:t>
        </x:is>
      </x:c>
      <x:c r="C176" s="3" t="inlineStr">
        <x:is>
          <x:t xml:space="preserve">Groceries</x:t>
        </x:is>
      </x:c>
      <x:c r="D176" s="3" t="inlineStr">
        <x:is>
          <x:t xml:space="preserve">Checking</x:t>
        </x:is>
      </x:c>
      <x:c r="E176" s="4" t="n">
        <x:v>-1431.14</x:v>
      </x:c>
      <x:c r="F176" s="5">
        <x:f>IF(E176&gt;=0,"Income","Expense")</x:f>
      </x:c>
      <x:c r="G176" s="6">
        <x:f>ABS(E176)</x:f>
      </x:c>
      <x:c r="H176" s="4">
        <x:f>ROUND(E176,2)</x:f>
      </x:c>
      <x:c r="I176" s="5">
        <x:f>MONTH(A176)</x:f>
      </x:c>
      <x:c r="J176" s="5">
        <x:f>YEAR(A176)</x:f>
      </x:c>
      <x:c r="K176" s="5">
        <x:f>WEEKNUM(A176,2)</x:f>
      </x:c>
      <x:c r="L176" s="5">
        <x:f>ISOWEEKNUM(A176)</x:f>
      </x:c>
      <x:c r="M176" s="5">
        <x:f>TRIM(CLEAN(B176))</x:f>
      </x:c>
      <x:c r="N176" s="5">
        <x:f>UPPER(M176)</x:f>
      </x:c>
      <x:c r="O176" s="5">
        <x:f>LOWER(M176)</x:f>
      </x:c>
      <x:c r="P176" s="3">
        <x:f>PROPER(M176)</x:f>
      </x:c>
      <x:c r="Q176" s="3">
        <x:f>LEN(M176)</x:f>
      </x:c>
      <x:c r="R176" s="3">
        <x:f>ISBLANK(B176)</x:f>
      </x:c>
      <x:c r="S176" s="3">
        <x:f>SIGN(E176)</x:f>
      </x:c>
      <x:c r="T176" s="3">
        <x:f>ISEVEN(ROW())</x:f>
      </x:c>
      <x:c r="U176" s="3">
        <x:f>ISODD(ROW())</x:f>
      </x:c>
    </x:row>
    <x:row r="177">
      <x:c r="A177" s="2" t="n">
        <x:v>45767</x:v>
      </x:c>
      <x:c r="B177" s="3" t="inlineStr">
        <x:is>
          <x:t xml:space="preserve">Business trip  </x:t>
        </x:is>
      </x:c>
      <x:c r="C177" s="3" t="inlineStr">
        <x:is>
          <x:t xml:space="preserve">Tax</x:t>
        </x:is>
      </x:c>
      <x:c r="D177" s="3" t="inlineStr">
        <x:is>
          <x:t xml:space="preserve">Checking</x:t>
        </x:is>
      </x:c>
      <x:c r="E177" s="4" t="n">
        <x:v>-645.92</x:v>
      </x:c>
      <x:c r="F177" s="5">
        <x:f>IF(E177&gt;=0,"Income","Expense")</x:f>
      </x:c>
      <x:c r="G177" s="6">
        <x:f>ABS(E177)</x:f>
      </x:c>
      <x:c r="H177" s="4">
        <x:f>ROUND(E177,2)</x:f>
      </x:c>
      <x:c r="I177" s="5">
        <x:f>MONTH(A177)</x:f>
      </x:c>
      <x:c r="J177" s="5">
        <x:f>YEAR(A177)</x:f>
      </x:c>
      <x:c r="K177" s="5">
        <x:f>WEEKNUM(A177,2)</x:f>
      </x:c>
      <x:c r="L177" s="5">
        <x:f>ISOWEEKNUM(A177)</x:f>
      </x:c>
      <x:c r="M177" s="5">
        <x:f>TRIM(CLEAN(B177))</x:f>
      </x:c>
      <x:c r="N177" s="5">
        <x:f>UPPER(M177)</x:f>
      </x:c>
      <x:c r="O177" s="5">
        <x:f>LOWER(M177)</x:f>
      </x:c>
      <x:c r="P177" s="3">
        <x:f>PROPER(M177)</x:f>
      </x:c>
      <x:c r="Q177" s="3">
        <x:f>LEN(M177)</x:f>
      </x:c>
      <x:c r="R177" s="3">
        <x:f>ISBLANK(B177)</x:f>
      </x:c>
      <x:c r="S177" s="3">
        <x:f>SIGN(E177)</x:f>
      </x:c>
      <x:c r="T177" s="3">
        <x:f>ISEVEN(ROW())</x:f>
      </x:c>
      <x:c r="U177" s="3">
        <x:f>ISODD(ROW())</x:f>
      </x:c>
    </x:row>
    <x:row r="178">
      <x:c r="A178" s="2" t="n">
        <x:v>45709</x:v>
      </x:c>
      <x:c r="B178" s="3" t="inlineStr">
        <x:is>
          <x:t xml:space="preserve">Ad spend  </x:t>
        </x:is>
      </x:c>
      <x:c r="C178" s="3" t="inlineStr">
        <x:is>
          <x:t xml:space="preserve">Rent</x:t>
        </x:is>
      </x:c>
      <x:c r="D178" s="3" t="inlineStr">
        <x:is>
          <x:t xml:space="preserve">Savings</x:t>
        </x:is>
      </x:c>
      <x:c r="E178" s="4" t="n">
        <x:v>-2455.75</x:v>
      </x:c>
      <x:c r="F178" s="5">
        <x:f>IF(E178&gt;=0,"Income","Expense")</x:f>
      </x:c>
      <x:c r="G178" s="6">
        <x:f>ABS(E178)</x:f>
      </x:c>
      <x:c r="H178" s="4">
        <x:f>ROUND(E178,2)</x:f>
      </x:c>
      <x:c r="I178" s="5">
        <x:f>MONTH(A178)</x:f>
      </x:c>
      <x:c r="J178" s="5">
        <x:f>YEAR(A178)</x:f>
      </x:c>
      <x:c r="K178" s="5">
        <x:f>WEEKNUM(A178,2)</x:f>
      </x:c>
      <x:c r="L178" s="5">
        <x:f>ISOWEEKNUM(A178)</x:f>
      </x:c>
      <x:c r="M178" s="5">
        <x:f>TRIM(CLEAN(B178))</x:f>
      </x:c>
      <x:c r="N178" s="5">
        <x:f>UPPER(M178)</x:f>
      </x:c>
      <x:c r="O178" s="5">
        <x:f>LOWER(M178)</x:f>
      </x:c>
      <x:c r="P178" s="3">
        <x:f>PROPER(M178)</x:f>
      </x:c>
      <x:c r="Q178" s="3">
        <x:f>LEN(M178)</x:f>
      </x:c>
      <x:c r="R178" s="3">
        <x:f>ISBLANK(B178)</x:f>
      </x:c>
      <x:c r="S178" s="3">
        <x:f>SIGN(E178)</x:f>
      </x:c>
      <x:c r="T178" s="3">
        <x:f>ISEVEN(ROW())</x:f>
      </x:c>
      <x:c r="U178" s="3">
        <x:f>ISODD(ROW())</x:f>
      </x:c>
    </x:row>
    <x:row r="179">
      <x:c r="A179" s="2" t="n">
        <x:v>45741</x:v>
      </x:c>
      <x:c r="B179" s="3" t="inlineStr">
        <x:is>
          <x:t xml:space="preserve">Tax refund</x:t>
        </x:is>
      </x:c>
      <x:c r="C179" s="3" t="inlineStr">
        <x:is>
          <x:t xml:space="preserve">Consulting</x:t>
        </x:is>
      </x:c>
      <x:c r="D179" s="3" t="inlineStr">
        <x:is>
          <x:t xml:space="preserve">Savings</x:t>
        </x:is>
      </x:c>
      <x:c r="E179" s="4" t="n">
        <x:v>762.15</x:v>
      </x:c>
      <x:c r="F179" s="5">
        <x:f>IF(E179&gt;=0,"Income","Expense")</x:f>
      </x:c>
      <x:c r="G179" s="6">
        <x:f>ABS(E179)</x:f>
      </x:c>
      <x:c r="H179" s="4">
        <x:f>ROUND(E179,2)</x:f>
      </x:c>
      <x:c r="I179" s="5">
        <x:f>MONTH(A179)</x:f>
      </x:c>
      <x:c r="J179" s="5">
        <x:f>YEAR(A179)</x:f>
      </x:c>
      <x:c r="K179" s="5">
        <x:f>WEEKNUM(A179,2)</x:f>
      </x:c>
      <x:c r="L179" s="5">
        <x:f>ISOWEEKNUM(A179)</x:f>
      </x:c>
      <x:c r="M179" s="5">
        <x:f>TRIM(CLEAN(B179))</x:f>
      </x:c>
      <x:c r="N179" s="5">
        <x:f>UPPER(M179)</x:f>
      </x:c>
      <x:c r="O179" s="5">
        <x:f>LOWER(M179)</x:f>
      </x:c>
      <x:c r="P179" s="3">
        <x:f>PROPER(M179)</x:f>
      </x:c>
      <x:c r="Q179" s="3">
        <x:f>LEN(M179)</x:f>
      </x:c>
      <x:c r="R179" s="3">
        <x:f>ISBLANK(B179)</x:f>
      </x:c>
      <x:c r="S179" s="3">
        <x:f>SIGN(E179)</x:f>
      </x:c>
      <x:c r="T179" s="3">
        <x:f>ISEVEN(ROW())</x:f>
      </x:c>
      <x:c r="U179" s="3">
        <x:f>ISODD(ROW())</x:f>
      </x:c>
    </x:row>
    <x:row r="180">
      <x:c r="A180" s="2" t="n">
        <x:v>45885</x:v>
      </x:c>
      <x:c r="B180" s="3" t="inlineStr">
        <x:is>
          <x:t xml:space="preserve">Business trip</x:t>
        </x:is>
      </x:c>
      <x:c r="C180" s="3" t="inlineStr">
        <x:is>
          <x:t xml:space="preserve">Tax</x:t>
        </x:is>
      </x:c>
      <x:c r="D180" s="3" t="inlineStr">
        <x:is>
          <x:t xml:space="preserve">Credit Card</x:t>
        </x:is>
      </x:c>
      <x:c r="E180" s="4" t="n">
        <x:v>-1502.22</x:v>
      </x:c>
      <x:c r="F180" s="5">
        <x:f>IF(E180&gt;=0,"Income","Expense")</x:f>
      </x:c>
      <x:c r="G180" s="6">
        <x:f>ABS(E180)</x:f>
      </x:c>
      <x:c r="H180" s="4">
        <x:f>ROUND(E180,2)</x:f>
      </x:c>
      <x:c r="I180" s="5">
        <x:f>MONTH(A180)</x:f>
      </x:c>
      <x:c r="J180" s="5">
        <x:f>YEAR(A180)</x:f>
      </x:c>
      <x:c r="K180" s="5">
        <x:f>WEEKNUM(A180,2)</x:f>
      </x:c>
      <x:c r="L180" s="5">
        <x:f>ISOWEEKNUM(A180)</x:f>
      </x:c>
      <x:c r="M180" s="5">
        <x:f>TRIM(CLEAN(B180))</x:f>
      </x:c>
      <x:c r="N180" s="5">
        <x:f>UPPER(M180)</x:f>
      </x:c>
      <x:c r="O180" s="5">
        <x:f>LOWER(M180)</x:f>
      </x:c>
      <x:c r="P180" s="3">
        <x:f>PROPER(M180)</x:f>
      </x:c>
      <x:c r="Q180" s="3">
        <x:f>LEN(M180)</x:f>
      </x:c>
      <x:c r="R180" s="3">
        <x:f>ISBLANK(B180)</x:f>
      </x:c>
      <x:c r="S180" s="3">
        <x:f>SIGN(E180)</x:f>
      </x:c>
      <x:c r="T180" s="3">
        <x:f>ISEVEN(ROW())</x:f>
      </x:c>
      <x:c r="U180" s="3">
        <x:f>ISODD(ROW())</x:f>
      </x:c>
    </x:row>
    <x:row r="181">
      <x:c r="A181" s="2" t="n">
        <x:v>45757</x:v>
      </x:c>
      <x:c r="B181" s="3" t="inlineStr">
        <x:is>
          <x:t xml:space="preserve">Estimated tax</x:t>
        </x:is>
      </x:c>
      <x:c r="C181" s="3" t="inlineStr">
        <x:is>
          <x:t xml:space="preserve">Tax</x:t>
        </x:is>
      </x:c>
      <x:c r="D181" s="3" t="inlineStr">
        <x:is>
          <x:t xml:space="preserve">Credit Card</x:t>
        </x:is>
      </x:c>
      <x:c r="E181" s="4" t="n">
        <x:v>-2157.89</x:v>
      </x:c>
      <x:c r="F181" s="5">
        <x:f>IF(E181&gt;=0,"Income","Expense")</x:f>
      </x:c>
      <x:c r="G181" s="6">
        <x:f>ABS(E181)</x:f>
      </x:c>
      <x:c r="H181" s="4">
        <x:f>ROUND(E181,2)</x:f>
      </x:c>
      <x:c r="I181" s="5">
        <x:f>MONTH(A181)</x:f>
      </x:c>
      <x:c r="J181" s="5">
        <x:f>YEAR(A181)</x:f>
      </x:c>
      <x:c r="K181" s="5">
        <x:f>WEEKNUM(A181,2)</x:f>
      </x:c>
      <x:c r="L181" s="5">
        <x:f>ISOWEEKNUM(A181)</x:f>
      </x:c>
      <x:c r="M181" s="5">
        <x:f>TRIM(CLEAN(B181))</x:f>
      </x:c>
      <x:c r="N181" s="5">
        <x:f>UPPER(M181)</x:f>
      </x:c>
      <x:c r="O181" s="5">
        <x:f>LOWER(M181)</x:f>
      </x:c>
      <x:c r="P181" s="3">
        <x:f>PROPER(M181)</x:f>
      </x:c>
      <x:c r="Q181" s="3">
        <x:f>LEN(M181)</x:f>
      </x:c>
      <x:c r="R181" s="3">
        <x:f>ISBLANK(B181)</x:f>
      </x:c>
      <x:c r="S181" s="3">
        <x:f>SIGN(E181)</x:f>
      </x:c>
      <x:c r="T181" s="3">
        <x:f>ISEVEN(ROW())</x:f>
      </x:c>
      <x:c r="U181" s="3">
        <x:f>ISODD(ROW())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</x:cols>
  <x:sheetData>
    <x:row r="1" ht="18" customHeight="1">
      <x:c r="A1" s="7" t="inlineStr">
        <x:is>
          <x:t xml:space="preserve">Month Start</x:t>
        </x:is>
      </x:c>
      <x:c r="B1" s="8" t="n">
        <x:v>45658</x:v>
      </x:c>
      <x:c r="C1" s="8" t="n">
        <x:v>45689</x:v>
      </x:c>
      <x:c r="D1" s="8" t="n">
        <x:v>45717</x:v>
      </x:c>
      <x:c r="E1" s="8" t="n">
        <x:v>45748</x:v>
      </x:c>
      <x:c r="F1" s="8" t="n">
        <x:v>45778</x:v>
      </x:c>
      <x:c r="G1" s="8" t="n">
        <x:v>45809</x:v>
      </x:c>
      <x:c r="H1" s="8" t="n">
        <x:v>45839</x:v>
      </x:c>
      <x:c r="I1" s="8" t="n">
        <x:v>45870</x:v>
      </x:c>
      <x:c r="J1" s="8" t="n">
        <x:v>45901</x:v>
      </x:c>
      <x:c r="K1" s="8" t="n">
        <x:v>45931</x:v>
      </x:c>
      <x:c r="L1" s="8" t="n">
        <x:v>45962</x:v>
      </x:c>
      <x:c r="M1" s="8" t="n">
        <x:v>45992</x:v>
      </x:c>
    </x:row>
    <x:row r="2" ht="24" customHeight="1">
      <x:c r="A2" s="1" t="inlineStr">
        <x:is>
          <x:t xml:space="preserve">Category</x:t>
        </x:is>
      </x:c>
      <x:c r="B2" s="1" t="inlineStr">
        <x:is>
          <x:t xml:space="preserve">Jan</x:t>
        </x:is>
      </x:c>
      <x:c r="C2" s="1" t="inlineStr">
        <x:is>
          <x:t xml:space="preserve">Feb</x:t>
        </x:is>
      </x:c>
      <x:c r="D2" s="1" t="inlineStr">
        <x:is>
          <x:t xml:space="preserve">Mar</x:t>
        </x:is>
      </x:c>
      <x:c r="E2" s="1" t="inlineStr">
        <x:is>
          <x:t xml:space="preserve">Apr</x:t>
        </x:is>
      </x:c>
      <x:c r="F2" s="1" t="inlineStr">
        <x:is>
          <x:t xml:space="preserve">May</x:t>
        </x:is>
      </x:c>
      <x:c r="G2" s="1" t="inlineStr">
        <x:is>
          <x:t xml:space="preserve">Jun</x:t>
        </x:is>
      </x:c>
      <x:c r="H2" s="1" t="inlineStr">
        <x:is>
          <x:t xml:space="preserve">Jul</x:t>
        </x:is>
      </x:c>
      <x:c r="I2" s="1" t="inlineStr">
        <x:is>
          <x:t xml:space="preserve">Aug</x:t>
        </x:is>
      </x:c>
      <x:c r="J2" s="1" t="inlineStr">
        <x:is>
          <x:t xml:space="preserve">Sep</x:t>
        </x:is>
      </x:c>
      <x:c r="K2" s="1" t="inlineStr">
        <x:is>
          <x:t xml:space="preserve">Oct</x:t>
        </x:is>
      </x:c>
      <x:c r="L2" s="1" t="inlineStr">
        <x:is>
          <x:t xml:space="preserve">Nov</x:t>
        </x:is>
      </x:c>
      <x:c r="M2" s="1" t="inlineStr">
        <x:is>
          <x:t xml:space="preserve">Dec</x:t>
        </x:is>
      </x:c>
    </x:row>
    <x:row r="3" ht="20" customHeight="1">
      <x:c r="A3" s="9" t="inlineStr">
        <x:is>
          <x:t xml:space="preserve">INCOME (SUMIFS by Month)</x:t>
        </x:is>
      </x:c>
    </x:row>
    <x:row r="4">
      <x:c r="A4" s="10" t="inlineStr">
        <x:is>
          <x:t xml:space="preserve">Salary</x:t>
        </x:is>
      </x:c>
      <x:c r="B4" s="11">
        <x:f>SUMIFS(Transactions!$E$2:$E$181,Transactions!$C$2:$C$181,$A4,Transactions!$I$2:$I$181,MONTH(B$1),Transactions!$J$2:$J$181,YEAR(B$1))</x:f>
        <x:v>15</x:v>
      </x:c>
      <x:c r="C4" s="11">
        <x:f>SUMIFS(Transactions!$E$2:$E$181,Transactions!$C$2:$C$181,$A4,Transactions!$I$2:$I$181,MONTH(C$1),Transactions!$J$2:$J$181,YEAR(C$1))</x:f>
        <x:v>15</x:v>
      </x:c>
      <x:c r="D4" s="11">
        <x:f>SUMIFS(Transactions!$E$2:$E$181,Transactions!$C$2:$C$181,$A4,Transactions!$I$2:$I$181,MONTH(D$1),Transactions!$J$2:$J$181,YEAR(D$1))</x:f>
        <x:v>15</x:v>
      </x:c>
      <x:c r="E4" s="11">
        <x:f>SUMIFS(Transactions!$E$2:$E$181,Transactions!$C$2:$C$181,$A4,Transactions!$I$2:$I$181,MONTH(E$1),Transactions!$J$2:$J$181,YEAR(E$1))</x:f>
        <x:v>15</x:v>
      </x:c>
      <x:c r="F4" s="11">
        <x:f>SUMIFS(Transactions!$E$2:$E$181,Transactions!$C$2:$C$181,$A4,Transactions!$I$2:$I$181,MONTH(F$1),Transactions!$J$2:$J$181,YEAR(F$1))</x:f>
        <x:v>15</x:v>
      </x:c>
      <x:c r="G4" s="11">
        <x:f>SUMIFS(Transactions!$E$2:$E$181,Transactions!$C$2:$C$181,$A4,Transactions!$I$2:$I$181,MONTH(G$1),Transactions!$J$2:$J$181,YEAR(G$1))</x:f>
        <x:v>15</x:v>
      </x:c>
      <x:c r="H4" s="11">
        <x:f>SUMIFS(Transactions!$E$2:$E$181,Transactions!$C$2:$C$181,$A4,Transactions!$I$2:$I$181,MONTH(H$1),Transactions!$J$2:$J$181,YEAR(H$1))</x:f>
        <x:v>15</x:v>
      </x:c>
      <x:c r="I4" s="11">
        <x:f>SUMIFS(Transactions!$E$2:$E$181,Transactions!$C$2:$C$181,$A4,Transactions!$I$2:$I$181,MONTH(I$1),Transactions!$J$2:$J$181,YEAR(I$1))</x:f>
        <x:v>15</x:v>
      </x:c>
      <x:c r="J4" s="11">
        <x:f>SUMIFS(Transactions!$E$2:$E$181,Transactions!$C$2:$C$181,$A4,Transactions!$I$2:$I$181,MONTH(J$1),Transactions!$J$2:$J$181,YEAR(J$1))</x:f>
        <x:v>15</x:v>
      </x:c>
      <x:c r="K4" s="11">
        <x:f>SUMIFS(Transactions!$E$2:$E$181,Transactions!$C$2:$C$181,$A4,Transactions!$I$2:$I$181,MONTH(K$1),Transactions!$J$2:$J$181,YEAR(K$1))</x:f>
        <x:v>15</x:v>
      </x:c>
      <x:c r="L4" s="11">
        <x:f>SUMIFS(Transactions!$E$2:$E$181,Transactions!$C$2:$C$181,$A4,Transactions!$I$2:$I$181,MONTH(L$1),Transactions!$J$2:$J$181,YEAR(L$1))</x:f>
        <x:v>15</x:v>
      </x:c>
      <x:c r="M4" s="11">
        <x:f>SUMIFS(Transactions!$E$2:$E$181,Transactions!$C$2:$C$181,$A4,Transactions!$I$2:$I$181,MONTH(M$1),Transactions!$J$2:$J$181,YEAR(M$1))</x:f>
        <x:v>15</x:v>
      </x:c>
    </x:row>
    <x:row r="5">
      <x:c r="A5" s="10" t="inlineStr">
        <x:is>
          <x:t xml:space="preserve">Consulting</x:t>
        </x:is>
      </x:c>
      <x:c r="B5" s="11">
        <x:f>SUMIFS(Transactions!$E$2:$E$181,Transactions!$C$2:$C$181,$A5,Transactions!$I$2:$I$181,MONTH(B$1),Transactions!$J$2:$J$181,YEAR(B$1))</x:f>
        <x:v>15</x:v>
      </x:c>
      <x:c r="C5" s="11">
        <x:f>SUMIFS(Transactions!$E$2:$E$181,Transactions!$C$2:$C$181,$A5,Transactions!$I$2:$I$181,MONTH(C$1),Transactions!$J$2:$J$181,YEAR(C$1))</x:f>
        <x:v>15</x:v>
      </x:c>
      <x:c r="D5" s="11">
        <x:f>SUMIFS(Transactions!$E$2:$E$181,Transactions!$C$2:$C$181,$A5,Transactions!$I$2:$I$181,MONTH(D$1),Transactions!$J$2:$J$181,YEAR(D$1))</x:f>
        <x:v>15</x:v>
      </x:c>
      <x:c r="E5" s="11">
        <x:f>SUMIFS(Transactions!$E$2:$E$181,Transactions!$C$2:$C$181,$A5,Transactions!$I$2:$I$181,MONTH(E$1),Transactions!$J$2:$J$181,YEAR(E$1))</x:f>
        <x:v>15</x:v>
      </x:c>
      <x:c r="F5" s="11">
        <x:f>SUMIFS(Transactions!$E$2:$E$181,Transactions!$C$2:$C$181,$A5,Transactions!$I$2:$I$181,MONTH(F$1),Transactions!$J$2:$J$181,YEAR(F$1))</x:f>
        <x:v>15</x:v>
      </x:c>
      <x:c r="G5" s="11">
        <x:f>SUMIFS(Transactions!$E$2:$E$181,Transactions!$C$2:$C$181,$A5,Transactions!$I$2:$I$181,MONTH(G$1),Transactions!$J$2:$J$181,YEAR(G$1))</x:f>
        <x:v>15</x:v>
      </x:c>
      <x:c r="H5" s="11">
        <x:f>SUMIFS(Transactions!$E$2:$E$181,Transactions!$C$2:$C$181,$A5,Transactions!$I$2:$I$181,MONTH(H$1),Transactions!$J$2:$J$181,YEAR(H$1))</x:f>
        <x:v>15</x:v>
      </x:c>
      <x:c r="I5" s="11">
        <x:f>SUMIFS(Transactions!$E$2:$E$181,Transactions!$C$2:$C$181,$A5,Transactions!$I$2:$I$181,MONTH(I$1),Transactions!$J$2:$J$181,YEAR(I$1))</x:f>
        <x:v>15</x:v>
      </x:c>
      <x:c r="J5" s="11">
        <x:f>SUMIFS(Transactions!$E$2:$E$181,Transactions!$C$2:$C$181,$A5,Transactions!$I$2:$I$181,MONTH(J$1),Transactions!$J$2:$J$181,YEAR(J$1))</x:f>
        <x:v>15</x:v>
      </x:c>
      <x:c r="K5" s="11">
        <x:f>SUMIFS(Transactions!$E$2:$E$181,Transactions!$C$2:$C$181,$A5,Transactions!$I$2:$I$181,MONTH(K$1),Transactions!$J$2:$J$181,YEAR(K$1))</x:f>
        <x:v>15</x:v>
      </x:c>
      <x:c r="L5" s="11">
        <x:f>SUMIFS(Transactions!$E$2:$E$181,Transactions!$C$2:$C$181,$A5,Transactions!$I$2:$I$181,MONTH(L$1),Transactions!$J$2:$J$181,YEAR(L$1))</x:f>
        <x:v>15</x:v>
      </x:c>
      <x:c r="M5" s="11">
        <x:f>SUMIFS(Transactions!$E$2:$E$181,Transactions!$C$2:$C$181,$A5,Transactions!$I$2:$I$181,MONTH(M$1),Transactions!$J$2:$J$181,YEAR(M$1))</x:f>
        <x:v>15</x:v>
      </x:c>
    </x:row>
    <x:row r="6">
      <x:c r="A6" s="10" t="inlineStr">
        <x:is>
          <x:t xml:space="preserve">Interest</x:t>
        </x:is>
      </x:c>
      <x:c r="B6" s="11">
        <x:f>SUMIFS(Transactions!$E$2:$E$181,Transactions!$C$2:$C$181,$A6,Transactions!$I$2:$I$181,MONTH(B$1),Transactions!$J$2:$J$181,YEAR(B$1))</x:f>
        <x:v>15</x:v>
      </x:c>
      <x:c r="C6" s="11">
        <x:f>SUMIFS(Transactions!$E$2:$E$181,Transactions!$C$2:$C$181,$A6,Transactions!$I$2:$I$181,MONTH(C$1),Transactions!$J$2:$J$181,YEAR(C$1))</x:f>
        <x:v>15</x:v>
      </x:c>
      <x:c r="D6" s="11">
        <x:f>SUMIFS(Transactions!$E$2:$E$181,Transactions!$C$2:$C$181,$A6,Transactions!$I$2:$I$181,MONTH(D$1),Transactions!$J$2:$J$181,YEAR(D$1))</x:f>
        <x:v>15</x:v>
      </x:c>
      <x:c r="E6" s="11">
        <x:f>SUMIFS(Transactions!$E$2:$E$181,Transactions!$C$2:$C$181,$A6,Transactions!$I$2:$I$181,MONTH(E$1),Transactions!$J$2:$J$181,YEAR(E$1))</x:f>
        <x:v>15</x:v>
      </x:c>
      <x:c r="F6" s="11">
        <x:f>SUMIFS(Transactions!$E$2:$E$181,Transactions!$C$2:$C$181,$A6,Transactions!$I$2:$I$181,MONTH(F$1),Transactions!$J$2:$J$181,YEAR(F$1))</x:f>
        <x:v>15</x:v>
      </x:c>
      <x:c r="G6" s="11">
        <x:f>SUMIFS(Transactions!$E$2:$E$181,Transactions!$C$2:$C$181,$A6,Transactions!$I$2:$I$181,MONTH(G$1),Transactions!$J$2:$J$181,YEAR(G$1))</x:f>
        <x:v>15</x:v>
      </x:c>
      <x:c r="H6" s="11">
        <x:f>SUMIFS(Transactions!$E$2:$E$181,Transactions!$C$2:$C$181,$A6,Transactions!$I$2:$I$181,MONTH(H$1),Transactions!$J$2:$J$181,YEAR(H$1))</x:f>
        <x:v>15</x:v>
      </x:c>
      <x:c r="I6" s="11">
        <x:f>SUMIFS(Transactions!$E$2:$E$181,Transactions!$C$2:$C$181,$A6,Transactions!$I$2:$I$181,MONTH(I$1),Transactions!$J$2:$J$181,YEAR(I$1))</x:f>
        <x:v>15</x:v>
      </x:c>
      <x:c r="J6" s="11">
        <x:f>SUMIFS(Transactions!$E$2:$E$181,Transactions!$C$2:$C$181,$A6,Transactions!$I$2:$I$181,MONTH(J$1),Transactions!$J$2:$J$181,YEAR(J$1))</x:f>
        <x:v>15</x:v>
      </x:c>
      <x:c r="K6" s="11">
        <x:f>SUMIFS(Transactions!$E$2:$E$181,Transactions!$C$2:$C$181,$A6,Transactions!$I$2:$I$181,MONTH(K$1),Transactions!$J$2:$J$181,YEAR(K$1))</x:f>
        <x:v>15</x:v>
      </x:c>
      <x:c r="L6" s="11">
        <x:f>SUMIFS(Transactions!$E$2:$E$181,Transactions!$C$2:$C$181,$A6,Transactions!$I$2:$I$181,MONTH(L$1),Transactions!$J$2:$J$181,YEAR(L$1))</x:f>
        <x:v>15</x:v>
      </x:c>
      <x:c r="M6" s="11">
        <x:f>SUMIFS(Transactions!$E$2:$E$181,Transactions!$C$2:$C$181,$A6,Transactions!$I$2:$I$181,MONTH(M$1),Transactions!$J$2:$J$181,YEAR(M$1))</x:f>
        <x:v>15</x:v>
      </x:c>
    </x:row>
    <x:row r="7">
      <x:c r="A7" s="10" t="inlineStr">
        <x:is>
          <x:t xml:space="preserve">Refund</x:t>
        </x:is>
      </x:c>
      <x:c r="B7" s="11">
        <x:f>SUMIFS(Transactions!$E$2:$E$181,Transactions!$C$2:$C$181,$A7,Transactions!$I$2:$I$181,MONTH(B$1),Transactions!$J$2:$J$181,YEAR(B$1))</x:f>
        <x:v>15</x:v>
      </x:c>
      <x:c r="C7" s="11">
        <x:f>SUMIFS(Transactions!$E$2:$E$181,Transactions!$C$2:$C$181,$A7,Transactions!$I$2:$I$181,MONTH(C$1),Transactions!$J$2:$J$181,YEAR(C$1))</x:f>
        <x:v>15</x:v>
      </x:c>
      <x:c r="D7" s="11">
        <x:f>SUMIFS(Transactions!$E$2:$E$181,Transactions!$C$2:$C$181,$A7,Transactions!$I$2:$I$181,MONTH(D$1),Transactions!$J$2:$J$181,YEAR(D$1))</x:f>
        <x:v>15</x:v>
      </x:c>
      <x:c r="E7" s="11">
        <x:f>SUMIFS(Transactions!$E$2:$E$181,Transactions!$C$2:$C$181,$A7,Transactions!$I$2:$I$181,MONTH(E$1),Transactions!$J$2:$J$181,YEAR(E$1))</x:f>
        <x:v>15</x:v>
      </x:c>
      <x:c r="F7" s="11">
        <x:f>SUMIFS(Transactions!$E$2:$E$181,Transactions!$C$2:$C$181,$A7,Transactions!$I$2:$I$181,MONTH(F$1),Transactions!$J$2:$J$181,YEAR(F$1))</x:f>
        <x:v>15</x:v>
      </x:c>
      <x:c r="G7" s="11">
        <x:f>SUMIFS(Transactions!$E$2:$E$181,Transactions!$C$2:$C$181,$A7,Transactions!$I$2:$I$181,MONTH(G$1),Transactions!$J$2:$J$181,YEAR(G$1))</x:f>
        <x:v>15</x:v>
      </x:c>
      <x:c r="H7" s="11">
        <x:f>SUMIFS(Transactions!$E$2:$E$181,Transactions!$C$2:$C$181,$A7,Transactions!$I$2:$I$181,MONTH(H$1),Transactions!$J$2:$J$181,YEAR(H$1))</x:f>
        <x:v>15</x:v>
      </x:c>
      <x:c r="I7" s="11">
        <x:f>SUMIFS(Transactions!$E$2:$E$181,Transactions!$C$2:$C$181,$A7,Transactions!$I$2:$I$181,MONTH(I$1),Transactions!$J$2:$J$181,YEAR(I$1))</x:f>
        <x:v>15</x:v>
      </x:c>
      <x:c r="J7" s="11">
        <x:f>SUMIFS(Transactions!$E$2:$E$181,Transactions!$C$2:$C$181,$A7,Transactions!$I$2:$I$181,MONTH(J$1),Transactions!$J$2:$J$181,YEAR(J$1))</x:f>
        <x:v>15</x:v>
      </x:c>
      <x:c r="K7" s="11">
        <x:f>SUMIFS(Transactions!$E$2:$E$181,Transactions!$C$2:$C$181,$A7,Transactions!$I$2:$I$181,MONTH(K$1),Transactions!$J$2:$J$181,YEAR(K$1))</x:f>
        <x:v>15</x:v>
      </x:c>
      <x:c r="L7" s="11">
        <x:f>SUMIFS(Transactions!$E$2:$E$181,Transactions!$C$2:$C$181,$A7,Transactions!$I$2:$I$181,MONTH(L$1),Transactions!$J$2:$J$181,YEAR(L$1))</x:f>
        <x:v>15</x:v>
      </x:c>
      <x:c r="M7" s="11">
        <x:f>SUMIFS(Transactions!$E$2:$E$181,Transactions!$C$2:$C$181,$A7,Transactions!$I$2:$I$181,MONTH(M$1),Transactions!$J$2:$J$181,YEAR(M$1))</x:f>
        <x:v>15</x:v>
      </x:c>
    </x:row>
    <x:row r="8">
      <x:c r="A8" s="12" t="inlineStr">
        <x:is>
          <x:t xml:space="preserve">Total Income</x:t>
        </x:is>
      </x:c>
      <x:c r="B8" s="13">
        <x:f>SUM(B4:B7)</x:f>
        <x:v>0</x:v>
      </x:c>
      <x:c r="C8" s="13">
        <x:f>SUM(C4:C7)</x:f>
        <x:v>0</x:v>
      </x:c>
      <x:c r="D8" s="13">
        <x:f>SUM(D4:D7)</x:f>
        <x:v>0</x:v>
      </x:c>
      <x:c r="E8" s="13">
        <x:f>SUM(E4:E7)</x:f>
        <x:v>0</x:v>
      </x:c>
      <x:c r="F8" s="13">
        <x:f>SUM(F4:F7)</x:f>
        <x:v>0</x:v>
      </x:c>
      <x:c r="G8" s="13">
        <x:f>SUM(G4:G7)</x:f>
        <x:v>0</x:v>
      </x:c>
      <x:c r="H8" s="13">
        <x:f>SUM(H4:H7)</x:f>
        <x:v>0</x:v>
      </x:c>
      <x:c r="I8" s="13">
        <x:f>SUM(I4:I7)</x:f>
        <x:v>0</x:v>
      </x:c>
      <x:c r="J8" s="13">
        <x:f>SUM(J4:J7)</x:f>
        <x:v>0</x:v>
      </x:c>
      <x:c r="K8" s="13">
        <x:f>SUM(K4:K7)</x:f>
        <x:v>0</x:v>
      </x:c>
      <x:c r="L8" s="13">
        <x:f>SUM(L4:L7)</x:f>
        <x:v>0</x:v>
      </x:c>
      <x:c r="M8" s="13">
        <x:f>SUM(M4:M7)</x:f>
        <x:v>0</x:v>
      </x:c>
    </x:row>
    <x:row r="10" ht="20" customHeight="1">
      <x:c r="A10" s="14" t="inlineStr">
        <x:is>
          <x:t xml:space="preserve">EXPENSES (SUMIFS by Month)</x:t>
        </x:is>
      </x:c>
    </x:row>
    <x:row r="11">
      <x:c r="A11" s="10" t="inlineStr">
        <x:is>
          <x:t xml:space="preserve">Rent</x:t>
        </x:is>
      </x:c>
      <x:c r="B11" s="11">
        <x:f>SUMIFS(Transactions!$E$2:$E$181,Transactions!$C$2:$C$181,$A11,Transactions!$I$2:$I$181,MONTH(B$1),Transactions!$J$2:$J$181,YEAR(B$1))</x:f>
        <x:v>15</x:v>
      </x:c>
      <x:c r="C11" s="11">
        <x:f>SUMIFS(Transactions!$E$2:$E$181,Transactions!$C$2:$C$181,$A11,Transactions!$I$2:$I$181,MONTH(C$1),Transactions!$J$2:$J$181,YEAR(C$1))</x:f>
        <x:v>15</x:v>
      </x:c>
      <x:c r="D11" s="11">
        <x:f>SUMIFS(Transactions!$E$2:$E$181,Transactions!$C$2:$C$181,$A11,Transactions!$I$2:$I$181,MONTH(D$1),Transactions!$J$2:$J$181,YEAR(D$1))</x:f>
        <x:v>15</x:v>
      </x:c>
      <x:c r="E11" s="11">
        <x:f>SUMIFS(Transactions!$E$2:$E$181,Transactions!$C$2:$C$181,$A11,Transactions!$I$2:$I$181,MONTH(E$1),Transactions!$J$2:$J$181,YEAR(E$1))</x:f>
        <x:v>15</x:v>
      </x:c>
      <x:c r="F11" s="11">
        <x:f>SUMIFS(Transactions!$E$2:$E$181,Transactions!$C$2:$C$181,$A11,Transactions!$I$2:$I$181,MONTH(F$1),Transactions!$J$2:$J$181,YEAR(F$1))</x:f>
        <x:v>15</x:v>
      </x:c>
      <x:c r="G11" s="11">
        <x:f>SUMIFS(Transactions!$E$2:$E$181,Transactions!$C$2:$C$181,$A11,Transactions!$I$2:$I$181,MONTH(G$1),Transactions!$J$2:$J$181,YEAR(G$1))</x:f>
        <x:v>15</x:v>
      </x:c>
      <x:c r="H11" s="11">
        <x:f>SUMIFS(Transactions!$E$2:$E$181,Transactions!$C$2:$C$181,$A11,Transactions!$I$2:$I$181,MONTH(H$1),Transactions!$J$2:$J$181,YEAR(H$1))</x:f>
        <x:v>15</x:v>
      </x:c>
      <x:c r="I11" s="11">
        <x:f>SUMIFS(Transactions!$E$2:$E$181,Transactions!$C$2:$C$181,$A11,Transactions!$I$2:$I$181,MONTH(I$1),Transactions!$J$2:$J$181,YEAR(I$1))</x:f>
        <x:v>15</x:v>
      </x:c>
      <x:c r="J11" s="11">
        <x:f>SUMIFS(Transactions!$E$2:$E$181,Transactions!$C$2:$C$181,$A11,Transactions!$I$2:$I$181,MONTH(J$1),Transactions!$J$2:$J$181,YEAR(J$1))</x:f>
        <x:v>15</x:v>
      </x:c>
      <x:c r="K11" s="11">
        <x:f>SUMIFS(Transactions!$E$2:$E$181,Transactions!$C$2:$C$181,$A11,Transactions!$I$2:$I$181,MONTH(K$1),Transactions!$J$2:$J$181,YEAR(K$1))</x:f>
        <x:v>15</x:v>
      </x:c>
      <x:c r="L11" s="11">
        <x:f>SUMIFS(Transactions!$E$2:$E$181,Transactions!$C$2:$C$181,$A11,Transactions!$I$2:$I$181,MONTH(L$1),Transactions!$J$2:$J$181,YEAR(L$1))</x:f>
        <x:v>15</x:v>
      </x:c>
      <x:c r="M11" s="11">
        <x:f>SUMIFS(Transactions!$E$2:$E$181,Transactions!$C$2:$C$181,$A11,Transactions!$I$2:$I$181,MONTH(M$1),Transactions!$J$2:$J$181,YEAR(M$1))</x:f>
        <x:v>15</x:v>
      </x:c>
    </x:row>
    <x:row r="12">
      <x:c r="A12" s="10" t="inlineStr">
        <x:is>
          <x:t xml:space="preserve">Groceries</x:t>
        </x:is>
      </x:c>
      <x:c r="B12" s="11">
        <x:f>SUMIFS(Transactions!$E$2:$E$181,Transactions!$C$2:$C$181,$A12,Transactions!$I$2:$I$181,MONTH(B$1),Transactions!$J$2:$J$181,YEAR(B$1))</x:f>
        <x:v>15</x:v>
      </x:c>
      <x:c r="C12" s="11">
        <x:f>SUMIFS(Transactions!$E$2:$E$181,Transactions!$C$2:$C$181,$A12,Transactions!$I$2:$I$181,MONTH(C$1),Transactions!$J$2:$J$181,YEAR(C$1))</x:f>
        <x:v>15</x:v>
      </x:c>
      <x:c r="D12" s="11">
        <x:f>SUMIFS(Transactions!$E$2:$E$181,Transactions!$C$2:$C$181,$A12,Transactions!$I$2:$I$181,MONTH(D$1),Transactions!$J$2:$J$181,YEAR(D$1))</x:f>
        <x:v>15</x:v>
      </x:c>
      <x:c r="E12" s="11">
        <x:f>SUMIFS(Transactions!$E$2:$E$181,Transactions!$C$2:$C$181,$A12,Transactions!$I$2:$I$181,MONTH(E$1),Transactions!$J$2:$J$181,YEAR(E$1))</x:f>
        <x:v>15</x:v>
      </x:c>
      <x:c r="F12" s="11">
        <x:f>SUMIFS(Transactions!$E$2:$E$181,Transactions!$C$2:$C$181,$A12,Transactions!$I$2:$I$181,MONTH(F$1),Transactions!$J$2:$J$181,YEAR(F$1))</x:f>
        <x:v>15</x:v>
      </x:c>
      <x:c r="G12" s="11">
        <x:f>SUMIFS(Transactions!$E$2:$E$181,Transactions!$C$2:$C$181,$A12,Transactions!$I$2:$I$181,MONTH(G$1),Transactions!$J$2:$J$181,YEAR(G$1))</x:f>
        <x:v>15</x:v>
      </x:c>
      <x:c r="H12" s="11">
        <x:f>SUMIFS(Transactions!$E$2:$E$181,Transactions!$C$2:$C$181,$A12,Transactions!$I$2:$I$181,MONTH(H$1),Transactions!$J$2:$J$181,YEAR(H$1))</x:f>
        <x:v>15</x:v>
      </x:c>
      <x:c r="I12" s="11">
        <x:f>SUMIFS(Transactions!$E$2:$E$181,Transactions!$C$2:$C$181,$A12,Transactions!$I$2:$I$181,MONTH(I$1),Transactions!$J$2:$J$181,YEAR(I$1))</x:f>
        <x:v>15</x:v>
      </x:c>
      <x:c r="J12" s="11">
        <x:f>SUMIFS(Transactions!$E$2:$E$181,Transactions!$C$2:$C$181,$A12,Transactions!$I$2:$I$181,MONTH(J$1),Transactions!$J$2:$J$181,YEAR(J$1))</x:f>
        <x:v>15</x:v>
      </x:c>
      <x:c r="K12" s="11">
        <x:f>SUMIFS(Transactions!$E$2:$E$181,Transactions!$C$2:$C$181,$A12,Transactions!$I$2:$I$181,MONTH(K$1),Transactions!$J$2:$J$181,YEAR(K$1))</x:f>
        <x:v>15</x:v>
      </x:c>
      <x:c r="L12" s="11">
        <x:f>SUMIFS(Transactions!$E$2:$E$181,Transactions!$C$2:$C$181,$A12,Transactions!$I$2:$I$181,MONTH(L$1),Transactions!$J$2:$J$181,YEAR(L$1))</x:f>
        <x:v>15</x:v>
      </x:c>
      <x:c r="M12" s="11">
        <x:f>SUMIFS(Transactions!$E$2:$E$181,Transactions!$C$2:$C$181,$A12,Transactions!$I$2:$I$181,MONTH(M$1),Transactions!$J$2:$J$181,YEAR(M$1))</x:f>
        <x:v>15</x:v>
      </x:c>
    </x:row>
    <x:row r="13">
      <x:c r="A13" s="10" t="inlineStr">
        <x:is>
          <x:t xml:space="preserve">Utilities</x:t>
        </x:is>
      </x:c>
      <x:c r="B13" s="11">
        <x:f>SUMIFS(Transactions!$E$2:$E$181,Transactions!$C$2:$C$181,$A13,Transactions!$I$2:$I$181,MONTH(B$1),Transactions!$J$2:$J$181,YEAR(B$1))</x:f>
        <x:v>15</x:v>
      </x:c>
      <x:c r="C13" s="11">
        <x:f>SUMIFS(Transactions!$E$2:$E$181,Transactions!$C$2:$C$181,$A13,Transactions!$I$2:$I$181,MONTH(C$1),Transactions!$J$2:$J$181,YEAR(C$1))</x:f>
        <x:v>15</x:v>
      </x:c>
      <x:c r="D13" s="11">
        <x:f>SUMIFS(Transactions!$E$2:$E$181,Transactions!$C$2:$C$181,$A13,Transactions!$I$2:$I$181,MONTH(D$1),Transactions!$J$2:$J$181,YEAR(D$1))</x:f>
        <x:v>15</x:v>
      </x:c>
      <x:c r="E13" s="11">
        <x:f>SUMIFS(Transactions!$E$2:$E$181,Transactions!$C$2:$C$181,$A13,Transactions!$I$2:$I$181,MONTH(E$1),Transactions!$J$2:$J$181,YEAR(E$1))</x:f>
        <x:v>15</x:v>
      </x:c>
      <x:c r="F13" s="11">
        <x:f>SUMIFS(Transactions!$E$2:$E$181,Transactions!$C$2:$C$181,$A13,Transactions!$I$2:$I$181,MONTH(F$1),Transactions!$J$2:$J$181,YEAR(F$1))</x:f>
        <x:v>15</x:v>
      </x:c>
      <x:c r="G13" s="11">
        <x:f>SUMIFS(Transactions!$E$2:$E$181,Transactions!$C$2:$C$181,$A13,Transactions!$I$2:$I$181,MONTH(G$1),Transactions!$J$2:$J$181,YEAR(G$1))</x:f>
        <x:v>15</x:v>
      </x:c>
      <x:c r="H13" s="11">
        <x:f>SUMIFS(Transactions!$E$2:$E$181,Transactions!$C$2:$C$181,$A13,Transactions!$I$2:$I$181,MONTH(H$1),Transactions!$J$2:$J$181,YEAR(H$1))</x:f>
        <x:v>15</x:v>
      </x:c>
      <x:c r="I13" s="11">
        <x:f>SUMIFS(Transactions!$E$2:$E$181,Transactions!$C$2:$C$181,$A13,Transactions!$I$2:$I$181,MONTH(I$1),Transactions!$J$2:$J$181,YEAR(I$1))</x:f>
        <x:v>15</x:v>
      </x:c>
      <x:c r="J13" s="11">
        <x:f>SUMIFS(Transactions!$E$2:$E$181,Transactions!$C$2:$C$181,$A13,Transactions!$I$2:$I$181,MONTH(J$1),Transactions!$J$2:$J$181,YEAR(J$1))</x:f>
        <x:v>15</x:v>
      </x:c>
      <x:c r="K13" s="11">
        <x:f>SUMIFS(Transactions!$E$2:$E$181,Transactions!$C$2:$C$181,$A13,Transactions!$I$2:$I$181,MONTH(K$1),Transactions!$J$2:$J$181,YEAR(K$1))</x:f>
        <x:v>15</x:v>
      </x:c>
      <x:c r="L13" s="11">
        <x:f>SUMIFS(Transactions!$E$2:$E$181,Transactions!$C$2:$C$181,$A13,Transactions!$I$2:$I$181,MONTH(L$1),Transactions!$J$2:$J$181,YEAR(L$1))</x:f>
        <x:v>15</x:v>
      </x:c>
      <x:c r="M13" s="11">
        <x:f>SUMIFS(Transactions!$E$2:$E$181,Transactions!$C$2:$C$181,$A13,Transactions!$I$2:$I$181,MONTH(M$1),Transactions!$J$2:$J$181,YEAR(M$1))</x:f>
        <x:v>15</x:v>
      </x:c>
    </x:row>
    <x:row r="14">
      <x:c r="A14" s="10" t="inlineStr">
        <x:is>
          <x:t xml:space="preserve">Travel</x:t>
        </x:is>
      </x:c>
      <x:c r="B14" s="11">
        <x:f>SUMIFS(Transactions!$E$2:$E$181,Transactions!$C$2:$C$181,$A14,Transactions!$I$2:$I$181,MONTH(B$1),Transactions!$J$2:$J$181,YEAR(B$1))</x:f>
        <x:v>15</x:v>
      </x:c>
      <x:c r="C14" s="11">
        <x:f>SUMIFS(Transactions!$E$2:$E$181,Transactions!$C$2:$C$181,$A14,Transactions!$I$2:$I$181,MONTH(C$1),Transactions!$J$2:$J$181,YEAR(C$1))</x:f>
        <x:v>15</x:v>
      </x:c>
      <x:c r="D14" s="11">
        <x:f>SUMIFS(Transactions!$E$2:$E$181,Transactions!$C$2:$C$181,$A14,Transactions!$I$2:$I$181,MONTH(D$1),Transactions!$J$2:$J$181,YEAR(D$1))</x:f>
        <x:v>15</x:v>
      </x:c>
      <x:c r="E14" s="11">
        <x:f>SUMIFS(Transactions!$E$2:$E$181,Transactions!$C$2:$C$181,$A14,Transactions!$I$2:$I$181,MONTH(E$1),Transactions!$J$2:$J$181,YEAR(E$1))</x:f>
        <x:v>15</x:v>
      </x:c>
      <x:c r="F14" s="11">
        <x:f>SUMIFS(Transactions!$E$2:$E$181,Transactions!$C$2:$C$181,$A14,Transactions!$I$2:$I$181,MONTH(F$1),Transactions!$J$2:$J$181,YEAR(F$1))</x:f>
        <x:v>15</x:v>
      </x:c>
      <x:c r="G14" s="11">
        <x:f>SUMIFS(Transactions!$E$2:$E$181,Transactions!$C$2:$C$181,$A14,Transactions!$I$2:$I$181,MONTH(G$1),Transactions!$J$2:$J$181,YEAR(G$1))</x:f>
        <x:v>15</x:v>
      </x:c>
      <x:c r="H14" s="11">
        <x:f>SUMIFS(Transactions!$E$2:$E$181,Transactions!$C$2:$C$181,$A14,Transactions!$I$2:$I$181,MONTH(H$1),Transactions!$J$2:$J$181,YEAR(H$1))</x:f>
        <x:v>15</x:v>
      </x:c>
      <x:c r="I14" s="11">
        <x:f>SUMIFS(Transactions!$E$2:$E$181,Transactions!$C$2:$C$181,$A14,Transactions!$I$2:$I$181,MONTH(I$1),Transactions!$J$2:$J$181,YEAR(I$1))</x:f>
        <x:v>15</x:v>
      </x:c>
      <x:c r="J14" s="11">
        <x:f>SUMIFS(Transactions!$E$2:$E$181,Transactions!$C$2:$C$181,$A14,Transactions!$I$2:$I$181,MONTH(J$1),Transactions!$J$2:$J$181,YEAR(J$1))</x:f>
        <x:v>15</x:v>
      </x:c>
      <x:c r="K14" s="11">
        <x:f>SUMIFS(Transactions!$E$2:$E$181,Transactions!$C$2:$C$181,$A14,Transactions!$I$2:$I$181,MONTH(K$1),Transactions!$J$2:$J$181,YEAR(K$1))</x:f>
        <x:v>15</x:v>
      </x:c>
      <x:c r="L14" s="11">
        <x:f>SUMIFS(Transactions!$E$2:$E$181,Transactions!$C$2:$C$181,$A14,Transactions!$I$2:$I$181,MONTH(L$1),Transactions!$J$2:$J$181,YEAR(L$1))</x:f>
        <x:v>15</x:v>
      </x:c>
      <x:c r="M14" s="11">
        <x:f>SUMIFS(Transactions!$E$2:$E$181,Transactions!$C$2:$C$181,$A14,Transactions!$I$2:$I$181,MONTH(M$1),Transactions!$J$2:$J$181,YEAR(M$1))</x:f>
        <x:v>15</x:v>
      </x:c>
    </x:row>
    <x:row r="15">
      <x:c r="A15" s="10" t="inlineStr">
        <x:is>
          <x:t xml:space="preserve">Software</x:t>
        </x:is>
      </x:c>
      <x:c r="B15" s="11">
        <x:f>SUMIFS(Transactions!$E$2:$E$181,Transactions!$C$2:$C$181,$A15,Transactions!$I$2:$I$181,MONTH(B$1),Transactions!$J$2:$J$181,YEAR(B$1))</x:f>
        <x:v>15</x:v>
      </x:c>
      <x:c r="C15" s="11">
        <x:f>SUMIFS(Transactions!$E$2:$E$181,Transactions!$C$2:$C$181,$A15,Transactions!$I$2:$I$181,MONTH(C$1),Transactions!$J$2:$J$181,YEAR(C$1))</x:f>
        <x:v>15</x:v>
      </x:c>
      <x:c r="D15" s="11">
        <x:f>SUMIFS(Transactions!$E$2:$E$181,Transactions!$C$2:$C$181,$A15,Transactions!$I$2:$I$181,MONTH(D$1),Transactions!$J$2:$J$181,YEAR(D$1))</x:f>
        <x:v>15</x:v>
      </x:c>
      <x:c r="E15" s="11">
        <x:f>SUMIFS(Transactions!$E$2:$E$181,Transactions!$C$2:$C$181,$A15,Transactions!$I$2:$I$181,MONTH(E$1),Transactions!$J$2:$J$181,YEAR(E$1))</x:f>
        <x:v>15</x:v>
      </x:c>
      <x:c r="F15" s="11">
        <x:f>SUMIFS(Transactions!$E$2:$E$181,Transactions!$C$2:$C$181,$A15,Transactions!$I$2:$I$181,MONTH(F$1),Transactions!$J$2:$J$181,YEAR(F$1))</x:f>
        <x:v>15</x:v>
      </x:c>
      <x:c r="G15" s="11">
        <x:f>SUMIFS(Transactions!$E$2:$E$181,Transactions!$C$2:$C$181,$A15,Transactions!$I$2:$I$181,MONTH(G$1),Transactions!$J$2:$J$181,YEAR(G$1))</x:f>
        <x:v>15</x:v>
      </x:c>
      <x:c r="H15" s="11">
        <x:f>SUMIFS(Transactions!$E$2:$E$181,Transactions!$C$2:$C$181,$A15,Transactions!$I$2:$I$181,MONTH(H$1),Transactions!$J$2:$J$181,YEAR(H$1))</x:f>
        <x:v>15</x:v>
      </x:c>
      <x:c r="I15" s="11">
        <x:f>SUMIFS(Transactions!$E$2:$E$181,Transactions!$C$2:$C$181,$A15,Transactions!$I$2:$I$181,MONTH(I$1),Transactions!$J$2:$J$181,YEAR(I$1))</x:f>
        <x:v>15</x:v>
      </x:c>
      <x:c r="J15" s="11">
        <x:f>SUMIFS(Transactions!$E$2:$E$181,Transactions!$C$2:$C$181,$A15,Transactions!$I$2:$I$181,MONTH(J$1),Transactions!$J$2:$J$181,YEAR(J$1))</x:f>
        <x:v>15</x:v>
      </x:c>
      <x:c r="K15" s="11">
        <x:f>SUMIFS(Transactions!$E$2:$E$181,Transactions!$C$2:$C$181,$A15,Transactions!$I$2:$I$181,MONTH(K$1),Transactions!$J$2:$J$181,YEAR(K$1))</x:f>
        <x:v>15</x:v>
      </x:c>
      <x:c r="L15" s="11">
        <x:f>SUMIFS(Transactions!$E$2:$E$181,Transactions!$C$2:$C$181,$A15,Transactions!$I$2:$I$181,MONTH(L$1),Transactions!$J$2:$J$181,YEAR(L$1))</x:f>
        <x:v>15</x:v>
      </x:c>
      <x:c r="M15" s="11">
        <x:f>SUMIFS(Transactions!$E$2:$E$181,Transactions!$C$2:$C$181,$A15,Transactions!$I$2:$I$181,MONTH(M$1),Transactions!$J$2:$J$181,YEAR(M$1))</x:f>
        <x:v>15</x:v>
      </x:c>
    </x:row>
    <x:row r="16">
      <x:c r="A16" s="10" t="inlineStr">
        <x:is>
          <x:t xml:space="preserve">Marketing</x:t>
        </x:is>
      </x:c>
      <x:c r="B16" s="11">
        <x:f>SUMIFS(Transactions!$E$2:$E$181,Transactions!$C$2:$C$181,$A16,Transactions!$I$2:$I$181,MONTH(B$1),Transactions!$J$2:$J$181,YEAR(B$1))</x:f>
        <x:v>15</x:v>
      </x:c>
      <x:c r="C16" s="11">
        <x:f>SUMIFS(Transactions!$E$2:$E$181,Transactions!$C$2:$C$181,$A16,Transactions!$I$2:$I$181,MONTH(C$1),Transactions!$J$2:$J$181,YEAR(C$1))</x:f>
        <x:v>15</x:v>
      </x:c>
      <x:c r="D16" s="11">
        <x:f>SUMIFS(Transactions!$E$2:$E$181,Transactions!$C$2:$C$181,$A16,Transactions!$I$2:$I$181,MONTH(D$1),Transactions!$J$2:$J$181,YEAR(D$1))</x:f>
        <x:v>15</x:v>
      </x:c>
      <x:c r="E16" s="11">
        <x:f>SUMIFS(Transactions!$E$2:$E$181,Transactions!$C$2:$C$181,$A16,Transactions!$I$2:$I$181,MONTH(E$1),Transactions!$J$2:$J$181,YEAR(E$1))</x:f>
        <x:v>15</x:v>
      </x:c>
      <x:c r="F16" s="11">
        <x:f>SUMIFS(Transactions!$E$2:$E$181,Transactions!$C$2:$C$181,$A16,Transactions!$I$2:$I$181,MONTH(F$1),Transactions!$J$2:$J$181,YEAR(F$1))</x:f>
        <x:v>15</x:v>
      </x:c>
      <x:c r="G16" s="11">
        <x:f>SUMIFS(Transactions!$E$2:$E$181,Transactions!$C$2:$C$181,$A16,Transactions!$I$2:$I$181,MONTH(G$1),Transactions!$J$2:$J$181,YEAR(G$1))</x:f>
        <x:v>15</x:v>
      </x:c>
      <x:c r="H16" s="11">
        <x:f>SUMIFS(Transactions!$E$2:$E$181,Transactions!$C$2:$C$181,$A16,Transactions!$I$2:$I$181,MONTH(H$1),Transactions!$J$2:$J$181,YEAR(H$1))</x:f>
        <x:v>15</x:v>
      </x:c>
      <x:c r="I16" s="11">
        <x:f>SUMIFS(Transactions!$E$2:$E$181,Transactions!$C$2:$C$181,$A16,Transactions!$I$2:$I$181,MONTH(I$1),Transactions!$J$2:$J$181,YEAR(I$1))</x:f>
        <x:v>15</x:v>
      </x:c>
      <x:c r="J16" s="11">
        <x:f>SUMIFS(Transactions!$E$2:$E$181,Transactions!$C$2:$C$181,$A16,Transactions!$I$2:$I$181,MONTH(J$1),Transactions!$J$2:$J$181,YEAR(J$1))</x:f>
        <x:v>15</x:v>
      </x:c>
      <x:c r="K16" s="11">
        <x:f>SUMIFS(Transactions!$E$2:$E$181,Transactions!$C$2:$C$181,$A16,Transactions!$I$2:$I$181,MONTH(K$1),Transactions!$J$2:$J$181,YEAR(K$1))</x:f>
        <x:v>15</x:v>
      </x:c>
      <x:c r="L16" s="11">
        <x:f>SUMIFS(Transactions!$E$2:$E$181,Transactions!$C$2:$C$181,$A16,Transactions!$I$2:$I$181,MONTH(L$1),Transactions!$J$2:$J$181,YEAR(L$1))</x:f>
        <x:v>15</x:v>
      </x:c>
      <x:c r="M16" s="11">
        <x:f>SUMIFS(Transactions!$E$2:$E$181,Transactions!$C$2:$C$181,$A16,Transactions!$I$2:$I$181,MONTH(M$1),Transactions!$J$2:$J$181,YEAR(M$1))</x:f>
        <x:v>15</x:v>
      </x:c>
    </x:row>
    <x:row r="17">
      <x:c r="A17" s="10" t="inlineStr">
        <x:is>
          <x:t xml:space="preserve">Insurance</x:t>
        </x:is>
      </x:c>
      <x:c r="B17" s="11">
        <x:f>SUMIFS(Transactions!$E$2:$E$181,Transactions!$C$2:$C$181,$A17,Transactions!$I$2:$I$181,MONTH(B$1),Transactions!$J$2:$J$181,YEAR(B$1))</x:f>
        <x:v>15</x:v>
      </x:c>
      <x:c r="C17" s="11">
        <x:f>SUMIFS(Transactions!$E$2:$E$181,Transactions!$C$2:$C$181,$A17,Transactions!$I$2:$I$181,MONTH(C$1),Transactions!$J$2:$J$181,YEAR(C$1))</x:f>
        <x:v>15</x:v>
      </x:c>
      <x:c r="D17" s="11">
        <x:f>SUMIFS(Transactions!$E$2:$E$181,Transactions!$C$2:$C$181,$A17,Transactions!$I$2:$I$181,MONTH(D$1),Transactions!$J$2:$J$181,YEAR(D$1))</x:f>
        <x:v>15</x:v>
      </x:c>
      <x:c r="E17" s="11">
        <x:f>SUMIFS(Transactions!$E$2:$E$181,Transactions!$C$2:$C$181,$A17,Transactions!$I$2:$I$181,MONTH(E$1),Transactions!$J$2:$J$181,YEAR(E$1))</x:f>
        <x:v>15</x:v>
      </x:c>
      <x:c r="F17" s="11">
        <x:f>SUMIFS(Transactions!$E$2:$E$181,Transactions!$C$2:$C$181,$A17,Transactions!$I$2:$I$181,MONTH(F$1),Transactions!$J$2:$J$181,YEAR(F$1))</x:f>
        <x:v>15</x:v>
      </x:c>
      <x:c r="G17" s="11">
        <x:f>SUMIFS(Transactions!$E$2:$E$181,Transactions!$C$2:$C$181,$A17,Transactions!$I$2:$I$181,MONTH(G$1),Transactions!$J$2:$J$181,YEAR(G$1))</x:f>
        <x:v>15</x:v>
      </x:c>
      <x:c r="H17" s="11">
        <x:f>SUMIFS(Transactions!$E$2:$E$181,Transactions!$C$2:$C$181,$A17,Transactions!$I$2:$I$181,MONTH(H$1),Transactions!$J$2:$J$181,YEAR(H$1))</x:f>
        <x:v>15</x:v>
      </x:c>
      <x:c r="I17" s="11">
        <x:f>SUMIFS(Transactions!$E$2:$E$181,Transactions!$C$2:$C$181,$A17,Transactions!$I$2:$I$181,MONTH(I$1),Transactions!$J$2:$J$181,YEAR(I$1))</x:f>
        <x:v>15</x:v>
      </x:c>
      <x:c r="J17" s="11">
        <x:f>SUMIFS(Transactions!$E$2:$E$181,Transactions!$C$2:$C$181,$A17,Transactions!$I$2:$I$181,MONTH(J$1),Transactions!$J$2:$J$181,YEAR(J$1))</x:f>
        <x:v>15</x:v>
      </x:c>
      <x:c r="K17" s="11">
        <x:f>SUMIFS(Transactions!$E$2:$E$181,Transactions!$C$2:$C$181,$A17,Transactions!$I$2:$I$181,MONTH(K$1),Transactions!$J$2:$J$181,YEAR(K$1))</x:f>
        <x:v>15</x:v>
      </x:c>
      <x:c r="L17" s="11">
        <x:f>SUMIFS(Transactions!$E$2:$E$181,Transactions!$C$2:$C$181,$A17,Transactions!$I$2:$I$181,MONTH(L$1),Transactions!$J$2:$J$181,YEAR(L$1))</x:f>
        <x:v>15</x:v>
      </x:c>
      <x:c r="M17" s="11">
        <x:f>SUMIFS(Transactions!$E$2:$E$181,Transactions!$C$2:$C$181,$A17,Transactions!$I$2:$I$181,MONTH(M$1),Transactions!$J$2:$J$181,YEAR(M$1))</x:f>
        <x:v>15</x:v>
      </x:c>
    </x:row>
    <x:row r="18">
      <x:c r="A18" s="10" t="inlineStr">
        <x:is>
          <x:t xml:space="preserve">Tax</x:t>
        </x:is>
      </x:c>
      <x:c r="B18" s="11">
        <x:f>SUMIFS(Transactions!$E$2:$E$181,Transactions!$C$2:$C$181,$A18,Transactions!$I$2:$I$181,MONTH(B$1),Transactions!$J$2:$J$181,YEAR(B$1))</x:f>
        <x:v>15</x:v>
      </x:c>
      <x:c r="C18" s="11">
        <x:f>SUMIFS(Transactions!$E$2:$E$181,Transactions!$C$2:$C$181,$A18,Transactions!$I$2:$I$181,MONTH(C$1),Transactions!$J$2:$J$181,YEAR(C$1))</x:f>
        <x:v>15</x:v>
      </x:c>
      <x:c r="D18" s="11">
        <x:f>SUMIFS(Transactions!$E$2:$E$181,Transactions!$C$2:$C$181,$A18,Transactions!$I$2:$I$181,MONTH(D$1),Transactions!$J$2:$J$181,YEAR(D$1))</x:f>
        <x:v>15</x:v>
      </x:c>
      <x:c r="E18" s="11">
        <x:f>SUMIFS(Transactions!$E$2:$E$181,Transactions!$C$2:$C$181,$A18,Transactions!$I$2:$I$181,MONTH(E$1),Transactions!$J$2:$J$181,YEAR(E$1))</x:f>
        <x:v>15</x:v>
      </x:c>
      <x:c r="F18" s="11">
        <x:f>SUMIFS(Transactions!$E$2:$E$181,Transactions!$C$2:$C$181,$A18,Transactions!$I$2:$I$181,MONTH(F$1),Transactions!$J$2:$J$181,YEAR(F$1))</x:f>
        <x:v>15</x:v>
      </x:c>
      <x:c r="G18" s="11">
        <x:f>SUMIFS(Transactions!$E$2:$E$181,Transactions!$C$2:$C$181,$A18,Transactions!$I$2:$I$181,MONTH(G$1),Transactions!$J$2:$J$181,YEAR(G$1))</x:f>
        <x:v>15</x:v>
      </x:c>
      <x:c r="H18" s="11">
        <x:f>SUMIFS(Transactions!$E$2:$E$181,Transactions!$C$2:$C$181,$A18,Transactions!$I$2:$I$181,MONTH(H$1),Transactions!$J$2:$J$181,YEAR(H$1))</x:f>
        <x:v>15</x:v>
      </x:c>
      <x:c r="I18" s="11">
        <x:f>SUMIFS(Transactions!$E$2:$E$181,Transactions!$C$2:$C$181,$A18,Transactions!$I$2:$I$181,MONTH(I$1),Transactions!$J$2:$J$181,YEAR(I$1))</x:f>
        <x:v>15</x:v>
      </x:c>
      <x:c r="J18" s="11">
        <x:f>SUMIFS(Transactions!$E$2:$E$181,Transactions!$C$2:$C$181,$A18,Transactions!$I$2:$I$181,MONTH(J$1),Transactions!$J$2:$J$181,YEAR(J$1))</x:f>
        <x:v>15</x:v>
      </x:c>
      <x:c r="K18" s="11">
        <x:f>SUMIFS(Transactions!$E$2:$E$181,Transactions!$C$2:$C$181,$A18,Transactions!$I$2:$I$181,MONTH(K$1),Transactions!$J$2:$J$181,YEAR(K$1))</x:f>
        <x:v>15</x:v>
      </x:c>
      <x:c r="L18" s="11">
        <x:f>SUMIFS(Transactions!$E$2:$E$181,Transactions!$C$2:$C$181,$A18,Transactions!$I$2:$I$181,MONTH(L$1),Transactions!$J$2:$J$181,YEAR(L$1))</x:f>
        <x:v>15</x:v>
      </x:c>
      <x:c r="M18" s="11">
        <x:f>SUMIFS(Transactions!$E$2:$E$181,Transactions!$C$2:$C$181,$A18,Transactions!$I$2:$I$181,MONTH(M$1),Transactions!$J$2:$J$181,YEAR(M$1))</x:f>
        <x:v>15</x:v>
      </x:c>
    </x:row>
    <x:row r="19">
      <x:c r="A19" s="15" t="inlineStr">
        <x:is>
          <x:t xml:space="preserve">Total Expenses</x:t>
        </x:is>
      </x:c>
      <x:c r="B19" s="16">
        <x:f>SUM(B11:B18)</x:f>
        <x:v>0</x:v>
      </x:c>
      <x:c r="C19" s="16">
        <x:f>SUM(C11:C18)</x:f>
        <x:v>0</x:v>
      </x:c>
      <x:c r="D19" s="16">
        <x:f>SUM(D11:D18)</x:f>
        <x:v>0</x:v>
      </x:c>
      <x:c r="E19" s="16">
        <x:f>SUM(E11:E18)</x:f>
        <x:v>0</x:v>
      </x:c>
      <x:c r="F19" s="16">
        <x:f>SUM(F11:F18)</x:f>
        <x:v>0</x:v>
      </x:c>
      <x:c r="G19" s="16">
        <x:f>SUM(G11:G18)</x:f>
        <x:v>0</x:v>
      </x:c>
      <x:c r="H19" s="16">
        <x:f>SUM(H11:H18)</x:f>
        <x:v>0</x:v>
      </x:c>
      <x:c r="I19" s="16">
        <x:f>SUM(I11:I18)</x:f>
        <x:v>0</x:v>
      </x:c>
      <x:c r="J19" s="16">
        <x:f>SUM(J11:J18)</x:f>
        <x:v>0</x:v>
      </x:c>
      <x:c r="K19" s="16">
        <x:f>SUM(K11:K18)</x:f>
        <x:v>0</x:v>
      </x:c>
      <x:c r="L19" s="16">
        <x:f>SUM(L11:L18)</x:f>
        <x:v>0</x:v>
      </x:c>
      <x:c r="M19" s="16">
        <x:f>SUM(M11:M18)</x:f>
        <x:v>0</x:v>
      </x:c>
    </x:row>
    <x:row r="21">
      <x:c r="A21" s="17" t="inlineStr">
        <x:is>
          <x:t xml:space="preserve">Net Income</x:t>
        </x:is>
      </x:c>
      <x:c r="B21" s="18">
        <x:f>B8+B19</x:f>
        <x:v>0</x:v>
      </x:c>
      <x:c r="C21" s="18">
        <x:f>C8+C19</x:f>
        <x:v>0</x:v>
      </x:c>
      <x:c r="D21" s="18">
        <x:f>D8+D19</x:f>
        <x:v>0</x:v>
      </x:c>
      <x:c r="E21" s="18">
        <x:f>E8+E19</x:f>
        <x:v>0</x:v>
      </x:c>
      <x:c r="F21" s="18">
        <x:f>F8+F19</x:f>
        <x:v>0</x:v>
      </x:c>
      <x:c r="G21" s="18">
        <x:f>G8+G19</x:f>
        <x:v>0</x:v>
      </x:c>
      <x:c r="H21" s="18">
        <x:f>H8+H19</x:f>
        <x:v>0</x:v>
      </x:c>
      <x:c r="I21" s="18">
        <x:f>I8+I19</x:f>
        <x:v>0</x:v>
      </x:c>
      <x:c r="J21" s="18">
        <x:f>J8+J19</x:f>
        <x:v>0</x:v>
      </x:c>
      <x:c r="K21" s="18">
        <x:f>K8+K19</x:f>
        <x:v>0</x:v>
      </x:c>
      <x:c r="L21" s="18">
        <x:f>L8+L19</x:f>
        <x:v>0</x:v>
      </x:c>
      <x:c r="M21" s="18">
        <x:f>M8+M19</x:f>
        <x:v>0</x:v>
      </x:c>
    </x:row>
    <x:row r="24" ht="20" customHeight="1">
      <x:c r="A24" s="19" t="inlineStr">
        <x:is>
          <x:t xml:space="preserve">CATEGORY STATS (COUNTIFS / AVERAGEIFS / MINIFS / MAXIFS)</x:t>
        </x:is>
      </x:c>
    </x:row>
    <x:row r="25">
      <x:c r="A25" s="20" t="inlineStr">
        <x:is>
          <x:t xml:space="preserve">Category</x:t>
        </x:is>
      </x:c>
      <x:c r="B25" s="20" t="inlineStr">
        <x:is>
          <x:t xml:space="preserve">Txn Count</x:t>
        </x:is>
      </x:c>
      <x:c r="C25" s="20" t="inlineStr">
        <x:is>
          <x:t xml:space="preserve">Avg Amount</x:t>
        </x:is>
      </x:c>
      <x:c r="D25" s="20" t="inlineStr">
        <x:is>
          <x:t xml:space="preserve">Min Amount</x:t>
        </x:is>
      </x:c>
      <x:c r="E25" s="20" t="inlineStr">
        <x:is>
          <x:t xml:space="preserve">Max Amount</x:t>
        </x:is>
      </x:c>
    </x:row>
    <x:row r="26">
      <x:c r="A26" s="3" t="inlineStr">
        <x:is>
          <x:t xml:space="preserve">Salary</x:t>
        </x:is>
      </x:c>
      <x:c r="B26" s="5">
        <x:f>COUNTIFS(Transactions!$C$2:$C$181,$A26)</x:f>
        <x:v>3</x:v>
      </x:c>
      <x:c r="C26" s="4">
        <x:f>AVERAGEIFS(Transactions!$E$2:$E$181,Transactions!$C$2:$C$181,$A26)</x:f>
        <x:v>1480.4399999999998</x:v>
      </x:c>
      <x:c r="D26" s="4">
        <x:f>MINIFS(Transactions!$E$2:$E$181,Transactions!$C$2:$C$181,$A26)</x:f>
        <x:v>904.4</x:v>
      </x:c>
      <x:c r="E26" s="4">
        <x:f>MAXIFS(Transactions!$E$2:$E$181,Transactions!$C$2:$C$181,$A26)</x:f>
        <x:v>2625.79</x:v>
      </x:c>
    </x:row>
    <x:row r="27">
      <x:c r="A27" s="3" t="inlineStr">
        <x:is>
          <x:t xml:space="preserve">Consulting</x:t>
        </x:is>
      </x:c>
      <x:c r="B27" s="5">
        <x:f>COUNTIFS(Transactions!$C$2:$C$181,$A27)</x:f>
        <x:v>2</x:v>
      </x:c>
      <x:c r="C27" s="4">
        <x:f>AVERAGEIFS(Transactions!$E$2:$E$181,Transactions!$C$2:$C$181,$A27)</x:f>
        <x:v>2553.795</x:v>
      </x:c>
      <x:c r="D27" s="4">
        <x:f>MINIFS(Transactions!$E$2:$E$181,Transactions!$C$2:$C$181,$A27)</x:f>
        <x:v>1013.92</x:v>
      </x:c>
      <x:c r="E27" s="4">
        <x:f>MAXIFS(Transactions!$E$2:$E$181,Transactions!$C$2:$C$181,$A27)</x:f>
        <x:v>4093.67</x:v>
      </x:c>
    </x:row>
    <x:row r="28">
      <x:c r="A28" s="3" t="inlineStr">
        <x:is>
          <x:t xml:space="preserve">Interest</x:t>
        </x:is>
      </x:c>
      <x:c r="B28" s="5">
        <x:f>COUNTIFS(Transactions!$C$2:$C$181,$A28)</x:f>
        <x:v>4</x:v>
      </x:c>
      <x:c r="C28" s="4">
        <x:f>AVERAGEIFS(Transactions!$E$2:$E$181,Transactions!$C$2:$C$181,$A28)</x:f>
        <x:v>2779.3950000000004</x:v>
      </x:c>
      <x:c r="D28" s="4">
        <x:f>MINIFS(Transactions!$E$2:$E$181,Transactions!$C$2:$C$181,$A28)</x:f>
        <x:v>800.85</x:v>
      </x:c>
      <x:c r="E28" s="4">
        <x:f>MAXIFS(Transactions!$E$2:$E$181,Transactions!$C$2:$C$181,$A28)</x:f>
        <x:v>4322.68</x:v>
      </x:c>
    </x:row>
    <x:row r="29">
      <x:c r="A29" s="3" t="inlineStr">
        <x:is>
          <x:t xml:space="preserve">Refund</x:t>
        </x:is>
      </x:c>
      <x:c r="B29" s="5">
        <x:f>COUNTIFS(Transactions!$C$2:$C$181,$A29)</x:f>
        <x:v>5</x:v>
      </x:c>
      <x:c r="C29" s="4">
        <x:f>AVERAGEIFS(Transactions!$E$2:$E$181,Transactions!$C$2:$C$181,$A29)</x:f>
        <x:v>3150.318</x:v>
      </x:c>
      <x:c r="D29" s="4">
        <x:f>MINIFS(Transactions!$E$2:$E$181,Transactions!$C$2:$C$181,$A29)</x:f>
        <x:v>1782.48</x:v>
      </x:c>
      <x:c r="E29" s="4">
        <x:f>MAXIFS(Transactions!$E$2:$E$181,Transactions!$C$2:$C$181,$A29)</x:f>
        <x:v>4871.27</x:v>
      </x:c>
    </x:row>
    <x:row r="30">
      <x:c r="A30" s="3" t="inlineStr">
        <x:is>
          <x:t xml:space="preserve">Rent</x:t>
        </x:is>
      </x:c>
      <x:c r="B30" s="5">
        <x:f>COUNTIFS(Transactions!$C$2:$C$181,$A30)</x:f>
        <x:v>4</x:v>
      </x:c>
      <x:c r="C30" s="4">
        <x:f>AVERAGEIFS(Transactions!$E$2:$E$181,Transactions!$C$2:$C$181,$A30)</x:f>
        <x:v>-1391.9950000000001</x:v>
      </x:c>
      <x:c r="D30" s="4">
        <x:f>MINIFS(Transactions!$E$2:$E$181,Transactions!$C$2:$C$181,$A30)</x:f>
        <x:v>-2609.94</x:v>
      </x:c>
      <x:c r="E30" s="4">
        <x:f>MAXIFS(Transactions!$E$2:$E$181,Transactions!$C$2:$C$181,$A30)</x:f>
        <x:v>-224.55</x:v>
      </x:c>
    </x:row>
    <x:row r="31">
      <x:c r="A31" s="3" t="inlineStr">
        <x:is>
          <x:t xml:space="preserve">Groceries</x:t>
        </x:is>
      </x:c>
      <x:c r="B31" s="5">
        <x:f>COUNTIFS(Transactions!$C$2:$C$181,$A31)</x:f>
        <x:v>6</x:v>
      </x:c>
      <x:c r="C31" s="4">
        <x:f>AVERAGEIFS(Transactions!$E$2:$E$181,Transactions!$C$2:$C$181,$A31)</x:f>
        <x:v>-1433.1716666666669</x:v>
      </x:c>
      <x:c r="D31" s="4">
        <x:f>MINIFS(Transactions!$E$2:$E$181,Transactions!$C$2:$C$181,$A31)</x:f>
        <x:v>-2558.08</x:v>
      </x:c>
      <x:c r="E31" s="4">
        <x:f>MAXIFS(Transactions!$E$2:$E$181,Transactions!$C$2:$C$181,$A31)</x:f>
        <x:v>-789.16</x:v>
      </x:c>
    </x:row>
    <x:row r="32">
      <x:c r="A32" s="3" t="inlineStr">
        <x:is>
          <x:t xml:space="preserve">Utilities</x:t>
        </x:is>
      </x:c>
      <x:c r="B32" s="5">
        <x:f>COUNTIFS(Transactions!$C$2:$C$181,$A32)</x:f>
        <x:v>7</x:v>
      </x:c>
      <x:c r="C32" s="4">
        <x:f>AVERAGEIFS(Transactions!$E$2:$E$181,Transactions!$C$2:$C$181,$A32)</x:f>
        <x:v>-1910.4385714285713</x:v>
      </x:c>
      <x:c r="D32" s="4">
        <x:f>MINIFS(Transactions!$E$2:$E$181,Transactions!$C$2:$C$181,$A32)</x:f>
        <x:v>-2651.97</x:v>
      </x:c>
      <x:c r="E32" s="4">
        <x:f>MAXIFS(Transactions!$E$2:$E$181,Transactions!$C$2:$C$181,$A32)</x:f>
        <x:v>-369.94</x:v>
      </x:c>
    </x:row>
    <x:row r="33">
      <x:c r="A33" s="3" t="inlineStr">
        <x:is>
          <x:t xml:space="preserve">Travel</x:t>
        </x:is>
      </x:c>
      <x:c r="B33" s="5">
        <x:f>COUNTIFS(Transactions!$C$2:$C$181,$A33)</x:f>
        <x:v>6</x:v>
      </x:c>
      <x:c r="C33" s="4">
        <x:f>AVERAGEIFS(Transactions!$E$2:$E$181,Transactions!$C$2:$C$181,$A33)</x:f>
        <x:v>-1328.995</x:v>
      </x:c>
      <x:c r="D33" s="4">
        <x:f>MINIFS(Transactions!$E$2:$E$181,Transactions!$C$2:$C$181,$A33)</x:f>
        <x:v>-2362.34</x:v>
      </x:c>
      <x:c r="E33" s="4">
        <x:f>MAXIFS(Transactions!$E$2:$E$181,Transactions!$C$2:$C$181,$A33)</x:f>
        <x:v>-193.31</x:v>
      </x:c>
    </x:row>
    <x:row r="34">
      <x:c r="A34" s="3" t="inlineStr">
        <x:is>
          <x:t xml:space="preserve">Software</x:t>
        </x:is>
      </x:c>
      <x:c r="B34" s="5">
        <x:f>COUNTIFS(Transactions!$C$2:$C$181,$A34)</x:f>
        <x:v>3</x:v>
      </x:c>
      <x:c r="C34" s="4">
        <x:f>AVERAGEIFS(Transactions!$E$2:$E$181,Transactions!$C$2:$C$181,$A34)</x:f>
        <x:v>-1588.7699999999998</x:v>
      </x:c>
      <x:c r="D34" s="4">
        <x:f>MINIFS(Transactions!$E$2:$E$181,Transactions!$C$2:$C$181,$A34)</x:f>
        <x:v>-2047.3</x:v>
      </x:c>
      <x:c r="E34" s="4">
        <x:f>MAXIFS(Transactions!$E$2:$E$181,Transactions!$C$2:$C$181,$A34)</x:f>
        <x:v>-809.42</x:v>
      </x:c>
    </x:row>
    <x:row r="35">
      <x:c r="A35" s="3" t="inlineStr">
        <x:is>
          <x:t xml:space="preserve">Marketing</x:t>
        </x:is>
      </x:c>
      <x:c r="B35" s="5">
        <x:f>COUNTIFS(Transactions!$C$2:$C$181,$A35)</x:f>
        <x:v>3</x:v>
      </x:c>
      <x:c r="C35" s="4">
        <x:f>AVERAGEIFS(Transactions!$E$2:$E$181,Transactions!$C$2:$C$181,$A35)</x:f>
        <x:v>-1085.8799999999999</x:v>
      </x:c>
      <x:c r="D35" s="4">
        <x:f>MINIFS(Transactions!$E$2:$E$181,Transactions!$C$2:$C$181,$A35)</x:f>
        <x:v>-1977.23</x:v>
      </x:c>
      <x:c r="E35" s="4">
        <x:f>MAXIFS(Transactions!$E$2:$E$181,Transactions!$C$2:$C$181,$A35)</x:f>
        <x:v>-448.01</x:v>
      </x:c>
    </x:row>
    <x:row r="36">
      <x:c r="A36" s="3" t="inlineStr">
        <x:is>
          <x:t xml:space="preserve">Insurance</x:t>
        </x:is>
      </x:c>
      <x:c r="B36" s="5">
        <x:f>COUNTIFS(Transactions!$C$2:$C$181,$A36)</x:f>
        <x:v>3</x:v>
      </x:c>
      <x:c r="C36" s="4">
        <x:f>AVERAGEIFS(Transactions!$E$2:$E$181,Transactions!$C$2:$C$181,$A36)</x:f>
        <x:v>-883.3033333333333</x:v>
      </x:c>
      <x:c r="D36" s="4">
        <x:f>MINIFS(Transactions!$E$2:$E$181,Transactions!$C$2:$C$181,$A36)</x:f>
        <x:v>-1266.05</x:v>
      </x:c>
      <x:c r="E36" s="4">
        <x:f>MAXIFS(Transactions!$E$2:$E$181,Transactions!$C$2:$C$181,$A36)</x:f>
        <x:v>-625.81</x:v>
      </x:c>
    </x:row>
    <x:row r="37">
      <x:c r="A37" s="3" t="inlineStr">
        <x:is>
          <x:t xml:space="preserve">Tax</x:t>
        </x:is>
      </x:c>
      <x:c r="B37" s="5">
        <x:f>COUNTIFS(Transactions!$C$2:$C$181,$A37)</x:f>
        <x:v>3</x:v>
      </x:c>
      <x:c r="C37" s="4">
        <x:f>AVERAGEIFS(Transactions!$E$2:$E$181,Transactions!$C$2:$C$181,$A37)</x:f>
        <x:v>-1277.64</x:v>
      </x:c>
      <x:c r="D37" s="4">
        <x:f>MINIFS(Transactions!$E$2:$E$181,Transactions!$C$2:$C$181,$A37)</x:f>
        <x:v>-2536.36</x:v>
      </x:c>
      <x:c r="E37" s="4">
        <x:f>MAXIFS(Transactions!$E$2:$E$181,Transactions!$C$2:$C$181,$A37)</x:f>
        <x:v>-543.87</x:v>
      </x:c>
    </x:row>
  </x:sheetData>
  <x:mergeCells>
    <x:mergeCell ref="A3:M3"/>
    <x:mergeCell ref="A24:M24"/>
    <x:mergeCell ref="A10:M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customWidth="1"/>
    <x:col min="2" max="2" width="16" customWidth="1"/>
    <x:col min="3" max="3" width="14" customWidth="1"/>
    <x:col min="4" max="4" width="14" customWidth="1"/>
    <x:col min="5" max="5" width="14" customWidth="1"/>
    <x:col min="6" max="6" width="10" customWidth="1"/>
    <x:col min="7" max="7" width="14" customWidth="1"/>
    <x:col min="8" max="8" width="28" customWidth="1"/>
  </x:cols>
  <x:sheetData>
    <x:row r="1" ht="28" customHeight="1">
      <x:c r="A1" s="21" t="inlineStr">
        <x:is>
          <x:t xml:space="preserve">Budget vs Actual (2025)</x:t>
        </x:is>
      </x:c>
    </x:row>
    <x:row r="3">
      <x:c r="A3" s="22" t="inlineStr">
        <x:is>
          <x:t xml:space="preserve">Controls</x:t>
        </x:is>
      </x:c>
    </x:row>
    <x:row r="4">
      <x:c r="A4" s="23" t="inlineStr">
        <x:is>
          <x:t xml:space="preserve">Scenario</x:t>
        </x:is>
      </x:c>
      <x:c r="B4" s="24" t="inlineStr">
        <x:is>
          <x:t xml:space="preserve">Base</x:t>
        </x:is>
      </x:c>
    </x:row>
    <x:row r="5">
      <x:c r="A5" s="23" t="inlineStr">
        <x:is>
          <x:t xml:space="preserve">Income Growth %</x:t>
        </x:is>
      </x:c>
      <x:c r="B5" s="24" t="n">
        <x:v>0.03</x:v>
      </x:c>
    </x:row>
    <x:row r="6">
      <x:c r="A6" s="23" t="inlineStr">
        <x:is>
          <x:t xml:space="preserve">Expense Inflation %</x:t>
        </x:is>
      </x:c>
      <x:c r="B6" s="24" t="n">
        <x:v>0.02</x:v>
      </x:c>
    </x:row>
    <x:row r="8">
      <x:c r="A8" s="23" t="inlineStr">
        <x:is>
          <x:t xml:space="preserve">Raw Note</x:t>
        </x:is>
      </x:c>
      <x:c r="B8" s="25" t="inlineStr">
        <x:is>
          <x:t xml:space="preserve">  Adjust budgets monthly 
</x:t>
        </x:is>
      </x:c>
    </x:row>
    <x:row r="9">
      <x:c r="A9" s="23" t="inlineStr">
        <x:is>
          <x:t xml:space="preserve">Clean Note</x:t>
        </x:is>
      </x:c>
      <x:c r="B9" s="26" t="str">
        <x:f>TRIM(CLEAN(B8))</x:f>
        <x:v>Adjust budgets monthly</x:v>
      </x:c>
    </x:row>
    <x:row r="12" ht="24" customHeight="1">
      <x:c r="A12" s="1" t="inlineStr">
        <x:is>
          <x:t xml:space="preserve">Category</x:t>
        </x:is>
      </x:c>
      <x:c r="B12" s="1" t="inlineStr">
        <x:is>
          <x:t xml:space="preserve">Monthly Budget</x:t>
        </x:is>
      </x:c>
      <x:c r="C12" s="1" t="inlineStr">
        <x:is>
          <x:t xml:space="preserve">Actual YTD</x:t>
        </x:is>
      </x:c>
      <x:c r="D12" s="1" t="inlineStr">
        <x:is>
          <x:t xml:space="preserve">Budget YTD</x:t>
        </x:is>
      </x:c>
      <x:c r="E12" s="1" t="inlineStr">
        <x:is>
          <x:t xml:space="preserve">Variance</x:t>
        </x:is>
      </x:c>
      <x:c r="F12" s="1" t="inlineStr">
        <x:is>
          <x:t xml:space="preserve">Var %</x:t>
        </x:is>
      </x:c>
      <x:c r="G12" s="1" t="inlineStr">
        <x:is>
          <x:t xml:space="preserve">Flag</x:t>
        </x:is>
      </x:c>
      <x:c r="H12" s="1" t="inlineStr">
        <x:is>
          <x:t xml:space="preserve">Notes</x:t>
        </x:is>
      </x:c>
    </x:row>
    <x:row r="13">
      <x:c r="A13" s="3" t="inlineStr">
        <x:is>
          <x:t xml:space="preserve">Salary</x:t>
        </x:is>
      </x:c>
      <x:c r="B13" s="27" t="n">
        <x:v>2648.23</x:v>
      </x:c>
      <x:c r="C13" s="4">
        <x:f>SUMIFS(Transactions!$E$2:$E$181,Transactions!$C$2:$C$181,$A13)</x:f>
        <x:v>4441.32</x:v>
      </x:c>
      <x:c r="D13" s="4">
        <x:f>IF(COUNTIF(Accounts!$A$4:$A$7,$A13)&gt;0,$B13*12*POWER(1+$B$5,1),$B13*12*POWER(1+$B$6,1))</x:f>
        <x:v>32732.122800000005</x:v>
      </x:c>
      <x:c r="E13" s="4">
        <x:f>C13-D13</x:f>
        <x:v>-28290.802800000005</x:v>
      </x:c>
      <x:c r="F13" s="28">
        <x:f>IF(D13=0,0,C13/D13-1)</x:f>
        <x:v>-0.8643131083450537</x:v>
      </x:c>
      <x:c r="G13" s="3" t="str">
        <x:f>IFS($F13&lt;-0.10,"Below Budget",AND($F13&gt;=-0.10,$F13&lt;=0.10),"On Track",$F13&gt;0.10,"Over Budget")</x:f>
        <x:v>Below Budget</x:v>
      </x:c>
      <x:c r="H13" s="3" t="str">
        <x:f>CONCAT("len=",LEN($A13),", evenRow=",ISEVEN(ROW()))</x:f>
        <x:v>len=6, evenRow=FALSE</x:v>
      </x:c>
    </x:row>
    <x:row r="14">
      <x:c r="A14" s="3" t="inlineStr">
        <x:is>
          <x:t xml:space="preserve">Consulting</x:t>
        </x:is>
      </x:c>
      <x:c r="B14" s="27" t="n">
        <x:v>2798.79</x:v>
      </x:c>
      <x:c r="C14" s="4">
        <x:f>SUMIFS(Transactions!$E$2:$E$181,Transactions!$C$2:$C$181,$A14)</x:f>
        <x:v>5107.59</x:v>
      </x:c>
      <x:c r="D14" s="4">
        <x:f>IF(COUNTIF(Accounts!$A$4:$A$7,$A14)&gt;0,$B14*12*POWER(1+$B$5,1),$B14*12*POWER(1+$B$6,1))</x:f>
        <x:v>34593.0444</x:v>
      </x:c>
      <x:c r="E14" s="4">
        <x:f>C14-D14</x:f>
        <x:v>-29485.4544</x:v>
      </x:c>
      <x:c r="F14" s="28">
        <x:f>IF(D14=0,0,C14/D14-1)</x:f>
        <x:v>-0.8523521104144277</x:v>
      </x:c>
      <x:c r="G14" s="3" t="str">
        <x:f>IFS($F14&lt;-0.10,"Below Budget",AND($F14&gt;=-0.10,$F14&lt;=0.10),"On Track",$F14&gt;0.10,"Over Budget")</x:f>
        <x:v>Below Budget</x:v>
      </x:c>
      <x:c r="H14" s="3" t="str">
        <x:f>CONCAT("len=",LEN($A14),", evenRow=",ISEVEN(ROW()))</x:f>
        <x:v>len=10, evenRow=TRUE</x:v>
      </x:c>
    </x:row>
    <x:row r="15">
      <x:c r="A15" s="3" t="inlineStr">
        <x:is>
          <x:t xml:space="preserve">Interest</x:t>
        </x:is>
      </x:c>
      <x:c r="B15" s="27" t="n">
        <x:v>4418.65</x:v>
      </x:c>
      <x:c r="C15" s="4">
        <x:f>SUMIFS(Transactions!$E$2:$E$181,Transactions!$C$2:$C$181,$A15)</x:f>
        <x:v>11117.580000000002</x:v>
      </x:c>
      <x:c r="D15" s="4">
        <x:f>IF(COUNTIF(Accounts!$A$4:$A$7,$A15)&gt;0,$B15*12*POWER(1+$B$5,1),$B15*12*POWER(1+$B$6,1))</x:f>
        <x:v>54614.513999999996</x:v>
      </x:c>
      <x:c r="E15" s="4">
        <x:f>C15-D15</x:f>
        <x:v>-43496.933999999994</x:v>
      </x:c>
      <x:c r="F15" s="28">
        <x:f>IF(D15=0,0,C15/D15-1)</x:f>
        <x:v>-0.7964354310650827</x:v>
      </x:c>
      <x:c r="G15" s="3" t="str">
        <x:f>IFS($F15&lt;-0.10,"Below Budget",AND($F15&gt;=-0.10,$F15&lt;=0.10),"On Track",$F15&gt;0.10,"Over Budget")</x:f>
        <x:v>Below Budget</x:v>
      </x:c>
      <x:c r="H15" s="3" t="str">
        <x:f>CONCAT("len=",LEN($A15),", evenRow=",ISEVEN(ROW()))</x:f>
        <x:v>len=8, evenRow=FALSE</x:v>
      </x:c>
    </x:row>
    <x:row r="16">
      <x:c r="A16" s="3" t="inlineStr">
        <x:is>
          <x:t xml:space="preserve">Refund</x:t>
        </x:is>
      </x:c>
      <x:c r="B16" s="27" t="n">
        <x:v>5492.01</x:v>
      </x:c>
      <x:c r="C16" s="4">
        <x:f>SUMIFS(Transactions!$E$2:$E$181,Transactions!$C$2:$C$181,$A16)</x:f>
        <x:v>15751.59</x:v>
      </x:c>
      <x:c r="D16" s="4">
        <x:f>IF(COUNTIF(Accounts!$A$4:$A$7,$A16)&gt;0,$B16*12*POWER(1+$B$5,1),$B16*12*POWER(1+$B$6,1))</x:f>
        <x:v>67881.2436</x:v>
      </x:c>
      <x:c r="E16" s="4">
        <x:f>C16-D16</x:f>
        <x:v>-52129.653600000005</x:v>
      </x:c>
      <x:c r="F16" s="28">
        <x:f>IF(D16=0,0,C16/D16-1)</x:f>
        <x:v>-0.7679537208714309</x:v>
      </x:c>
      <x:c r="G16" s="3" t="str">
        <x:f>IFS($F16&lt;-0.10,"Below Budget",AND($F16&gt;=-0.10,$F16&lt;=0.10),"On Track",$F16&gt;0.10,"Over Budget")</x:f>
        <x:v>Below Budget</x:v>
      </x:c>
      <x:c r="H16" s="3" t="str">
        <x:f>CONCAT("len=",LEN($A16),", evenRow=",ISEVEN(ROW()))</x:f>
        <x:v>len=6, evenRow=TRUE</x:v>
      </x:c>
    </x:row>
    <x:row r="17">
      <x:c r="A17" s="3" t="inlineStr">
        <x:is>
          <x:t xml:space="preserve">Rent</x:t>
        </x:is>
      </x:c>
      <x:c r="B17" s="27" t="n">
        <x:v>-414.8</x:v>
      </x:c>
      <x:c r="C17" s="4">
        <x:f>SUMIFS(Transactions!$E$2:$E$181,Transactions!$C$2:$C$181,$A17)</x:f>
        <x:v>-5567.9800000000005</x:v>
      </x:c>
      <x:c r="D17" s="4">
        <x:f>IF(COUNTIF(Accounts!$A$4:$A$7,$A17)&gt;0,$B17*12*POWER(1+$B$5,1),$B17*12*POWER(1+$B$6,1))</x:f>
        <x:v>-5077.152</x:v>
      </x:c>
      <x:c r="E17" s="4">
        <x:f>C17-D17</x:f>
        <x:v>-490.82800000000043</x:v>
      </x:c>
      <x:c r="F17" s="28">
        <x:f>IF(D17=0,0,C17/D17-1)</x:f>
        <x:v>0.09667388331095861</x:v>
      </x:c>
      <x:c r="G17" s="3" t="str">
        <x:f>IFS($F17&lt;-0.10,"Below Budget",AND($F17&gt;=-0.10,$F17&lt;=0.10),"On Track",$F17&gt;0.10,"Over Budget")</x:f>
        <x:v>On Track</x:v>
      </x:c>
      <x:c r="H17" s="3" t="str">
        <x:f>CONCAT("len=",LEN($A17),", evenRow=",ISEVEN(ROW()))</x:f>
        <x:v>len=4, evenRow=FALSE</x:v>
      </x:c>
    </x:row>
    <x:row r="18">
      <x:c r="A18" s="3" t="inlineStr">
        <x:is>
          <x:t xml:space="preserve">Groceries</x:t>
        </x:is>
      </x:c>
      <x:c r="B18" s="27" t="n">
        <x:v>-1357.3</x:v>
      </x:c>
      <x:c r="C18" s="4">
        <x:f>SUMIFS(Transactions!$E$2:$E$181,Transactions!$C$2:$C$181,$A18)</x:f>
        <x:v>-8599.03</x:v>
      </x:c>
      <x:c r="D18" s="4">
        <x:f>IF(COUNTIF(Accounts!$A$4:$A$7,$A18)&gt;0,$B18*12*POWER(1+$B$5,1),$B18*12*POWER(1+$B$6,1))</x:f>
        <x:v>-16613.352</x:v>
      </x:c>
      <x:c r="E18" s="4">
        <x:f>C18-D18</x:f>
        <x:v>8014.321999999998</x:v>
      </x:c>
      <x:c r="F18" s="28">
        <x:f>IF(D18=0,0,C18/D18-1)</x:f>
        <x:v>-0.48240246760557404</x:v>
      </x:c>
      <x:c r="G18" s="3" t="str">
        <x:f>IFS($F18&lt;-0.10,"Below Budget",AND($F18&gt;=-0.10,$F18&lt;=0.10),"On Track",$F18&gt;0.10,"Over Budget")</x:f>
        <x:v>Below Budget</x:v>
      </x:c>
      <x:c r="H18" s="3" t="str">
        <x:f>CONCAT("len=",LEN($A18),", evenRow=",ISEVEN(ROW()))</x:f>
        <x:v>len=9, evenRow=TRUE</x:v>
      </x:c>
    </x:row>
    <x:row r="19">
      <x:c r="A19" s="3" t="inlineStr">
        <x:is>
          <x:t xml:space="preserve">Utilities</x:t>
        </x:is>
      </x:c>
      <x:c r="B19" s="27" t="n">
        <x:v>-1116.67</x:v>
      </x:c>
      <x:c r="C19" s="4">
        <x:f>SUMIFS(Transactions!$E$2:$E$181,Transactions!$C$2:$C$181,$A19)</x:f>
        <x:v>-13373.07</x:v>
      </x:c>
      <x:c r="D19" s="4">
        <x:f>IF(COUNTIF(Accounts!$A$4:$A$7,$A19)&gt;0,$B19*12*POWER(1+$B$5,1),$B19*12*POWER(1+$B$6,1))</x:f>
        <x:v>-13668.0408</x:v>
      </x:c>
      <x:c r="E19" s="4">
        <x:f>C19-D19</x:f>
        <x:v>294.97080000000096</x:v>
      </x:c>
      <x:c r="F19" s="28">
        <x:f>IF(D19=0,0,C19/D19-1)</x:f>
        <x:v>-0.02158105937172805</x:v>
      </x:c>
      <x:c r="G19" s="3" t="str">
        <x:f>IFS($F19&lt;-0.10,"Below Budget",AND($F19&gt;=-0.10,$F19&lt;=0.10),"On Track",$F19&gt;0.10,"Over Budget")</x:f>
        <x:v>On Track</x:v>
      </x:c>
      <x:c r="H19" s="3" t="str">
        <x:f>CONCAT("len=",LEN($A19),", evenRow=",ISEVEN(ROW()))</x:f>
        <x:v>len=9, evenRow=FALSE</x:v>
      </x:c>
    </x:row>
    <x:row r="20">
      <x:c r="A20" s="3" t="inlineStr">
        <x:is>
          <x:t xml:space="preserve">Travel</x:t>
        </x:is>
      </x:c>
      <x:c r="B20" s="27" t="n">
        <x:v>-2355.45</x:v>
      </x:c>
      <x:c r="C20" s="4">
        <x:f>SUMIFS(Transactions!$E$2:$E$181,Transactions!$C$2:$C$181,$A20)</x:f>
        <x:v>-7973.969999999999</x:v>
      </x:c>
      <x:c r="D20" s="4">
        <x:f>IF(COUNTIF(Accounts!$A$4:$A$7,$A20)&gt;0,$B20*12*POWER(1+$B$5,1),$B20*12*POWER(1+$B$6,1))</x:f>
        <x:v>-28830.708</x:v>
      </x:c>
      <x:c r="E20" s="4">
        <x:f>C20-D20</x:f>
        <x:v>20856.737999999998</x:v>
      </x:c>
      <x:c r="F20" s="28">
        <x:f>IF(D20=0,0,C20/D20-1)</x:f>
        <x:v>-0.723420944085036</x:v>
      </x:c>
      <x:c r="G20" s="3" t="str">
        <x:f>IFS($F20&lt;-0.10,"Below Budget",AND($F20&gt;=-0.10,$F20&lt;=0.10),"On Track",$F20&gt;0.10,"Over Budget")</x:f>
        <x:v>Below Budget</x:v>
      </x:c>
      <x:c r="H20" s="3" t="str">
        <x:f>CONCAT("len=",LEN($A20),", evenRow=",ISEVEN(ROW()))</x:f>
        <x:v>len=6, evenRow=TRUE</x:v>
      </x:c>
    </x:row>
    <x:row r="21">
      <x:c r="A21" s="3" t="inlineStr">
        <x:is>
          <x:t xml:space="preserve">Software</x:t>
        </x:is>
      </x:c>
      <x:c r="B21" s="27" t="n">
        <x:v>-1865.08</x:v>
      </x:c>
      <x:c r="C21" s="4">
        <x:f>SUMIFS(Transactions!$E$2:$E$181,Transactions!$C$2:$C$181,$A21)</x:f>
        <x:v>-4766.3099999999995</x:v>
      </x:c>
      <x:c r="D21" s="4">
        <x:f>IF(COUNTIF(Accounts!$A$4:$A$7,$A21)&gt;0,$B21*12*POWER(1+$B$5,1),$B21*12*POWER(1+$B$6,1))</x:f>
        <x:v>-22828.5792</x:v>
      </x:c>
      <x:c r="E21" s="4">
        <x:f>C21-D21</x:f>
        <x:v>18062.269200000002</x:v>
      </x:c>
      <x:c r="F21" s="28">
        <x:f>IF(D21=0,0,C21/D21-1)</x:f>
        <x:v>-0.7912130247685323</x:v>
      </x:c>
      <x:c r="G21" s="3" t="str">
        <x:f>IFS($F21&lt;-0.10,"Below Budget",AND($F21&gt;=-0.10,$F21&lt;=0.10),"On Track",$F21&gt;0.10,"Over Budget")</x:f>
        <x:v>Below Budget</x:v>
      </x:c>
      <x:c r="H21" s="3" t="str">
        <x:f>CONCAT("len=",LEN($A21),", evenRow=",ISEVEN(ROW()))</x:f>
        <x:v>len=8, evenRow=FALSE</x:v>
      </x:c>
    </x:row>
    <x:row r="22">
      <x:c r="A22" s="3" t="inlineStr">
        <x:is>
          <x:t xml:space="preserve">Marketing</x:t>
        </x:is>
      </x:c>
      <x:c r="B22" s="27" t="n">
        <x:v>-1435</x:v>
      </x:c>
      <x:c r="C22" s="4">
        <x:f>SUMIFS(Transactions!$E$2:$E$181,Transactions!$C$2:$C$181,$A22)</x:f>
        <x:v>-3257.64</x:v>
      </x:c>
      <x:c r="D22" s="4">
        <x:f>IF(COUNTIF(Accounts!$A$4:$A$7,$A22)&gt;0,$B22*12*POWER(1+$B$5,1),$B22*12*POWER(1+$B$6,1))</x:f>
        <x:v>-17564.4</x:v>
      </x:c>
      <x:c r="E22" s="4">
        <x:f>C22-D22</x:f>
        <x:v>14306.760000000002</x:v>
      </x:c>
      <x:c r="F22" s="28">
        <x:f>IF(D22=0,0,C22/D22-1)</x:f>
        <x:v>-0.8145316663250666</x:v>
      </x:c>
      <x:c r="G22" s="3" t="str">
        <x:f>IFS($F22&lt;-0.10,"Below Budget",AND($F22&gt;=-0.10,$F22&lt;=0.10),"On Track",$F22&gt;0.10,"Over Budget")</x:f>
        <x:v>Below Budget</x:v>
      </x:c>
      <x:c r="H22" s="3" t="str">
        <x:f>CONCAT("len=",LEN($A22),", evenRow=",ISEVEN(ROW()))</x:f>
        <x:v>len=9, evenRow=TRUE</x:v>
      </x:c>
    </x:row>
    <x:row r="23">
      <x:c r="A23" s="3" t="inlineStr">
        <x:is>
          <x:t xml:space="preserve">Insurance</x:t>
        </x:is>
      </x:c>
      <x:c r="B23" s="27" t="n">
        <x:v>-574.29</x:v>
      </x:c>
      <x:c r="C23" s="4">
        <x:f>SUMIFS(Transactions!$E$2:$E$181,Transactions!$C$2:$C$181,$A23)</x:f>
        <x:v>-2649.91</x:v>
      </x:c>
      <x:c r="D23" s="4">
        <x:f>IF(COUNTIF(Accounts!$A$4:$A$7,$A23)&gt;0,$B23*12*POWER(1+$B$5,1),$B23*12*POWER(1+$B$6,1))</x:f>
        <x:v>-7029.3096</x:v>
      </x:c>
      <x:c r="E23" s="4">
        <x:f>C23-D23</x:f>
        <x:v>4379.3996</x:v>
      </x:c>
      <x:c r="F23" s="28">
        <x:f>IF(D23=0,0,C23/D23-1)</x:f>
        <x:v>-0.6230198766604333</x:v>
      </x:c>
      <x:c r="G23" s="3" t="str">
        <x:f>IFS($F23&lt;-0.10,"Below Budget",AND($F23&gt;=-0.10,$F23&lt;=0.10),"On Track",$F23&gt;0.10,"Over Budget")</x:f>
        <x:v>Below Budget</x:v>
      </x:c>
      <x:c r="H23" s="3" t="str">
        <x:f>CONCAT("len=",LEN($A23),", evenRow=",ISEVEN(ROW()))</x:f>
        <x:v>len=9, evenRow=FALSE</x:v>
      </x:c>
    </x:row>
    <x:row r="24">
      <x:c r="A24" s="3" t="inlineStr">
        <x:is>
          <x:t xml:space="preserve">Tax</x:t>
        </x:is>
      </x:c>
      <x:c r="B24" s="27" t="n">
        <x:v>-484.53</x:v>
      </x:c>
      <x:c r="C24" s="4">
        <x:f>SUMIFS(Transactions!$E$2:$E$181,Transactions!$C$2:$C$181,$A24)</x:f>
        <x:v>-3832.92</x:v>
      </x:c>
      <x:c r="D24" s="4">
        <x:f>IF(COUNTIF(Accounts!$A$4:$A$7,$A24)&gt;0,$B24*12*POWER(1+$B$5,1),$B24*12*POWER(1+$B$6,1))</x:f>
        <x:v>-5930.647199999999</x:v>
      </x:c>
      <x:c r="E24" s="4">
        <x:f>C24-D24</x:f>
        <x:v>2097.7271999999994</x:v>
      </x:c>
      <x:c r="F24" s="28">
        <x:f>IF(D24=0,0,C24/D24-1)</x:f>
        <x:v>-0.3537096592088633</x:v>
      </x:c>
      <x:c r="G24" s="3" t="str">
        <x:f>IFS($F24&lt;-0.10,"Below Budget",AND($F24&gt;=-0.10,$F24&lt;=0.10),"On Track",$F24&gt;0.10,"Over Budget")</x:f>
        <x:v>Below Budget</x:v>
      </x:c>
      <x:c r="H24" s="3" t="str">
        <x:f>CONCAT("len=",LEN($A24),", evenRow=",ISEVEN(ROW()))</x:f>
        <x:v>len=3, evenRow=TRUE</x:v>
      </x:c>
    </x:row>
    <x:row r="25">
      <x:c r="A25" s="17" t="inlineStr">
        <x:is>
          <x:t xml:space="preserve">TOTAL</x:t>
        </x:is>
      </x:c>
      <x:c r="B25" s="18">
        <x:f>SUM(B13:B24)</x:f>
        <x:v>5754.560000000001</x:v>
      </x:c>
      <x:c r="C25" s="18">
        <x:f>SUM(C13:C24)</x:f>
        <x:v>-13602.750000000004</x:v>
      </x:c>
      <x:c r="D25" s="18">
        <x:f>SUM(D13:D24)</x:f>
        <x:v>72278.736</x:v>
      </x:c>
      <x:c r="E25" s="18">
        <x:f>SUM(E13:E24)</x:f>
        <x:v>-85881.486</x:v>
      </x:c>
      <x:c r="F25" s="29">
        <x:f>IF(D25=0,0,C25/D25-1)</x:f>
        <x:v>-1.188198504190776</x:v>
      </x:c>
      <x:c r="G25" s="30" t="str">
        <x:f>IF(OR(E25&gt;0,AND(E25=0,NOT(ISBLANK(E25)))),"Review","OK")</x:f>
        <x:v>OK</x:v>
      </x:c>
      <x:c r="H25" s="30" t="str">
        <x:f>TEXTJOIN(" | ",TRUE,$B$4,$B$9)</x:f>
        <x:v>Base | Adjust budgets monthly</x:v>
      </x:c>
    </x:row>
  </x:sheetData>
  <x:mergeCells>
    <x:mergeCell ref="A3:C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customWidth="1"/>
    <x:col min="2" max="2" width="18" customWidth="1"/>
    <x:col min="3" max="3" width="2" customWidth="1"/>
    <x:col min="4" max="4" width="18" customWidth="1"/>
    <x:col min="5" max="5" width="18" customWidth="1"/>
    <x:col min="6" max="6" width="10" customWidth="1"/>
  </x:cols>
  <x:sheetData>
    <x:row r="1" ht="30" customHeight="1">
      <x:c r="A1" s="31" t="inlineStr">
        <x:is>
          <x:t xml:space="preserve">Financial Dashboard (Sample)</x:t>
        </x:is>
      </x:c>
    </x:row>
    <x:row r="3" ht="20" customHeight="1">
      <x:c r="A3" s="32" t="inlineStr">
        <x:is>
          <x:t xml:space="preserve">KPI</x:t>
        </x:is>
      </x:c>
      <x:c r="D3" s="22" t="inlineStr">
        <x:is>
          <x:t xml:space="preserve">Date &amp; Time</x:t>
        </x:is>
      </x:c>
    </x:row>
    <x:row r="4">
      <x:c r="A4" s="33" t="inlineStr">
        <x:is>
          <x:t xml:space="preserve">Total Income</x:t>
        </x:is>
      </x:c>
      <x:c r="B4" s="4">
        <x:f>SUMIFS(Transactions!$E$2:$E$181,Transactions!$E$2:$E$181,"&gt;=0")</x:f>
        <x:v>36418.08</x:v>
      </x:c>
      <x:c r="D4" s="23" t="inlineStr">
        <x:is>
          <x:t xml:space="preserve">As of (TODAY)</x:t>
        </x:is>
      </x:c>
      <x:c r="E4" s="34">
        <x:f>TODAY()</x:f>
        <x:v>46078</x:v>
      </x:c>
    </x:row>
    <x:row r="5">
      <x:c r="A5" s="33" t="inlineStr">
        <x:is>
          <x:t xml:space="preserve">Total Expenses</x:t>
        </x:is>
      </x:c>
      <x:c r="B5" s="4">
        <x:f>SUMIFS(Transactions!$E$2:$E$181,Transactions!$E$2:$E$181,"&lt;0")</x:f>
        <x:v>-50020.83000000002</x:v>
      </x:c>
      <x:c r="D5" s="23" t="inlineStr">
        <x:is>
          <x:t xml:space="preserve">Timestamp (NOW)</x:t>
        </x:is>
      </x:c>
      <x:c r="E5" s="35">
        <x:f>NOW()</x:f>
        <x:v>46078.6977721875</x:v>
      </x:c>
    </x:row>
    <x:row r="6">
      <x:c r="A6" s="33" t="inlineStr">
        <x:is>
          <x:t xml:space="preserve">Net Income</x:t>
        </x:is>
      </x:c>
      <x:c r="B6" s="4">
        <x:f>B4+B5</x:f>
        <x:v>-13602.750000000022</x:v>
      </x:c>
      <x:c r="D6" s="23" t="inlineStr">
        <x:is>
          <x:t xml:space="preserve">Weekday</x:t>
        </x:is>
      </x:c>
      <x:c r="E6" s="36">
        <x:f>WEEKDAY(TODAY(),2)</x:f>
        <x:v>3</x:v>
      </x:c>
    </x:row>
    <x:row r="7">
      <x:c r="A7" s="33" t="inlineStr">
        <x:is>
          <x:t xml:space="preserve">Avg Txn Amount</x:t>
        </x:is>
      </x:c>
      <x:c r="B7" s="4">
        <x:f>AVERAGE(Transactions!$E$2:$E$181)</x:f>
        <x:v>-277.60714285714283</x:v>
      </x:c>
      <x:c r="D7" s="23" t="inlineStr">
        <x:is>
          <x:t xml:space="preserve">Week # (ISO)</x:t>
        </x:is>
      </x:c>
      <x:c r="E7" s="36">
        <x:f>ISOWEEKNUM(TODAY())</x:f>
        <x:v>9</x:v>
      </x:c>
    </x:row>
    <x:row r="8">
      <x:c r="A8" s="33" t="inlineStr">
        <x:is>
          <x:t xml:space="preserve">Txn Count</x:t>
        </x:is>
      </x:c>
      <x:c r="B8" s="36">
        <x:f>COUNT(Transactions!$E$2:$E$181)</x:f>
        <x:v>49</x:v>
      </x:c>
    </x:row>
    <x:row r="9">
      <x:c r="A9" s="33" t="inlineStr">
        <x:is>
          <x:t xml:space="preserve">Distinct Categories</x:t>
        </x:is>
      </x:c>
      <x:c r="B9" s="36">
        <x:f>COUNTA(Budget!$A$13:$A$24)</x:f>
        <x:v>12</x:v>
      </x:c>
    </x:row>
    <x:row r="11" ht="20" customHeight="1">
      <x:c r="A11" s="37" t="inlineStr">
        <x:is>
          <x:t xml:space="preserve">Monthly Net Income Stats</x:t>
        </x:is>
      </x:c>
      <x:c r="D11" s="22" t="inlineStr">
        <x:is>
          <x:t xml:space="preserve">Math / Random</x:t>
        </x:is>
      </x:c>
    </x:row>
    <x:row r="12" ht="24" customHeight="1">
      <x:c r="A12" s="1" t="inlineStr">
        <x:is>
          <x:t xml:space="preserve">Metric</x:t>
        </x:is>
      </x:c>
      <x:c r="B12" s="1" t="inlineStr">
        <x:is>
          <x:t xml:space="preserve">Value</x:t>
        </x:is>
      </x:c>
      <x:c r="D12" s="23" t="inlineStr">
        <x:is>
          <x:t xml:space="preserve">Angle (deg)</x:t>
        </x:is>
      </x:c>
      <x:c r="E12" s="38" t="n">
        <x:v>45</x:v>
      </x:c>
    </x:row>
    <x:row r="13">
      <x:c r="A13" s="3" t="inlineStr">
        <x:is>
          <x:t xml:space="preserve">Average</x:t>
        </x:is>
      </x:c>
      <x:c r="B13" s="4">
        <x:f>AVERAGE(Accounts!$B$21:$M$21)</x:f>
        <x:v>0</x:v>
      </x:c>
      <x:c r="D13" s="23" t="inlineStr">
        <x:is>
          <x:t xml:space="preserve">Radians</x:t>
        </x:is>
      </x:c>
      <x:c r="E13" s="39">
        <x:f>RADIANS(E12)</x:f>
        <x:v>0.7853981633974483</x:v>
      </x:c>
    </x:row>
    <x:row r="14">
      <x:c r="A14" s="3" t="inlineStr">
        <x:is>
          <x:t xml:space="preserve">Median</x:t>
        </x:is>
      </x:c>
      <x:c r="B14" s="4">
        <x:f>MEDIAN(Accounts!$B$21:$M$21)</x:f>
        <x:v>0</x:v>
      </x:c>
      <x:c r="D14" s="23" t="inlineStr">
        <x:is>
          <x:t xml:space="preserve">SIN</x:t>
        </x:is>
      </x:c>
      <x:c r="E14" s="39">
        <x:f>SIN(E13)</x:f>
        <x:v>0.7071067811865475</x:v>
      </x:c>
    </x:row>
    <x:row r="15">
      <x:c r="A15" s="3" t="inlineStr">
        <x:is>
          <x:t xml:space="preserve">Min</x:t>
        </x:is>
      </x:c>
      <x:c r="B15" s="4">
        <x:f>MIN(Accounts!$B$21:$M$21)</x:f>
        <x:v>0</x:v>
      </x:c>
      <x:c r="D15" s="23" t="inlineStr">
        <x:is>
          <x:t xml:space="preserve">COS</x:t>
        </x:is>
      </x:c>
      <x:c r="E15" s="39">
        <x:f>COS(E13)</x:f>
        <x:v>0.7071067811865476</x:v>
      </x:c>
    </x:row>
    <x:row r="16">
      <x:c r="A16" s="3" t="inlineStr">
        <x:is>
          <x:t xml:space="preserve">Max</x:t>
        </x:is>
      </x:c>
      <x:c r="B16" s="4">
        <x:f>MAX(Accounts!$B$21:$M$21)</x:f>
        <x:v>0</x:v>
      </x:c>
      <x:c r="D16" s="23" t="inlineStr">
        <x:is>
          <x:t xml:space="preserve">TAN</x:t>
        </x:is>
      </x:c>
      <x:c r="E16" s="39">
        <x:f>TAN(E13)</x:f>
        <x:v>0.9999999999999999</x:v>
      </x:c>
    </x:row>
    <x:row r="17">
      <x:c r="A17" s="3" t="inlineStr">
        <x:is>
          <x:t xml:space="preserve">StdDev (Sample)</x:t>
        </x:is>
      </x:c>
      <x:c r="B17" s="4">
        <x:f>STDEV.S(Accounts!$B$21:$M$21)</x:f>
        <x:v>0</x:v>
      </x:c>
      <x:c r="D17" s="23" t="inlineStr">
        <x:is>
          <x:t xml:space="preserve">PI</x:t>
        </x:is>
      </x:c>
      <x:c r="E17" s="39">
        <x:f>PI()</x:f>
        <x:v>3.141592653589793</x:v>
      </x:c>
    </x:row>
    <x:row r="18">
      <x:c r="A18" s="3" t="inlineStr">
        <x:is>
          <x:t xml:space="preserve">Variance (Sample)</x:t>
        </x:is>
      </x:c>
      <x:c r="B18" s="4">
        <x:f>VAR.S(Accounts!$B$21:$M$21)</x:f>
        <x:v>0</x:v>
      </x:c>
      <x:c r="D18" s="23" t="inlineStr">
        <x:is>
          <x:t xml:space="preserve">RAND</x:t>
        </x:is>
      </x:c>
      <x:c r="E18" s="39">
        <x:f>RAND()</x:f>
        <x:v>0.5120170519311374</x:v>
      </x:c>
    </x:row>
    <x:row r="19">
      <x:c r="A19" s="3" t="inlineStr">
        <x:is>
          <x:t xml:space="preserve">90th Percentile</x:t>
        </x:is>
      </x:c>
      <x:c r="B19" s="4">
        <x:f>PERCENTILE.INC(Accounts!$B$21:$M$21,0.9)</x:f>
        <x:v>0</x:v>
      </x:c>
      <x:c r="D19" s="23" t="inlineStr">
        <x:is>
          <x:t xml:space="preserve">RANDBETWEEN</x:t>
        </x:is>
      </x:c>
      <x:c r="E19" s="40">
        <x:f>RANDBETWEEN(1,100)</x:f>
        <x:v>54</x:v>
      </x:c>
    </x:row>
    <x:row r="20">
      <x:c r="A20" s="3" t="inlineStr">
        <x:is>
          <x:t xml:space="preserve">Q1 (Quartile)</x:t>
        </x:is>
      </x:c>
      <x:c r="B20" s="4">
        <x:f>QUARTILE.INC(Accounts!$B$21:$M$21,1)</x:f>
        <x:v>0</x:v>
      </x:c>
    </x:row>
    <x:row r="21">
      <x:c r="A21" s="3" t="inlineStr">
        <x:is>
          <x:t xml:space="preserve">Rank of Jan</x:t>
        </x:is>
      </x:c>
      <x:c r="B21" s="36">
        <x:f>RANK.EQ(Accounts!B21,Accounts!$B$21:$M$21,0)</x:f>
        <x:v>1</x:v>
      </x:c>
    </x:row>
  </x:sheetData>
  <x:mergeCells>
    <x:mergeCell ref="D11:F11"/>
    <x:mergeCell ref="A11:C11"/>
    <x:mergeCell ref="A1:F1"/>
    <x:mergeCell ref="D3:F3"/>
    <x:mergeCell ref="A3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44" customWidth="1"/>
    <x:col min="3" max="3" width="18" customWidth="1"/>
    <x:col min="4" max="4" width="34" customWidth="1"/>
    <x:col min="5" max="5" width="12" customWidth="1"/>
    <x:col min="6" max="6" width="14" customWidth="1"/>
  </x:cols>
  <x:sheetData>
    <x:row r="1" ht="20" customHeight="1">
      <x:c r="A1" s="37" t="inlineStr">
        <x:is>
          <x:t xml:space="preserve">Inputs</x:t>
        </x:is>
      </x:c>
    </x:row>
    <x:row r="2" ht="24" customHeight="1">
      <x:c r="A2" s="1" t="inlineStr">
        <x:is>
          <x:t xml:space="preserve">Name</x:t>
        </x:is>
      </x:c>
      <x:c r="B2" s="1" t="inlineStr">
        <x:is>
          <x:t xml:space="preserve">Value</x:t>
        </x:is>
      </x:c>
      <x:c r="C2" s="1" t="inlineStr">
        <x:is>
          <x:t xml:space="preserve">Notes</x:t>
        </x:is>
      </x:c>
      <x:c r="E2" s="7" t="inlineStr">
        <x:is>
          <x:t xml:space="preserve">Data (nums)</x:t>
        </x:is>
      </x:c>
      <x:c r="F2" s="7" t="inlineStr">
        <x:is>
          <x:t xml:space="preserve">Data (labels)</x:t>
        </x:is>
      </x:c>
    </x:row>
    <x:row r="3">
      <x:c r="A3" s="33" t="inlineStr">
        <x:is>
          <x:t xml:space="preserve">num_a</x:t>
        </x:is>
      </x:c>
      <x:c r="B3" s="41" t="n">
        <x:v>-12.345</x:v>
      </x:c>
      <x:c r="C3" s="3" t="inlineStr">
        <x:is>
          <x:t xml:space="preserve"/>
        </x:is>
      </x:c>
      <x:c r="E3" s="5" t="n">
        <x:v>10</x:v>
      </x:c>
      <x:c r="F3" s="3" t="inlineStr">
        <x:is>
          <x:t xml:space="preserve">A</x:t>
        </x:is>
      </x:c>
    </x:row>
    <x:row r="4">
      <x:c r="A4" s="33" t="inlineStr">
        <x:is>
          <x:t xml:space="preserve">num_b</x:t>
        </x:is>
      </x:c>
      <x:c r="B4" s="41" t="n">
        <x:v>7.89</x:v>
      </x:c>
      <x:c r="C4" s="3" t="inlineStr">
        <x:is>
          <x:t xml:space="preserve"/>
        </x:is>
      </x:c>
      <x:c r="E4" s="5" t="n">
        <x:v>8</x:v>
      </x:c>
      <x:c r="F4" s="3" t="inlineStr">
        <x:is>
          <x:t xml:space="preserve">B</x:t>
        </x:is>
      </x:c>
    </x:row>
    <x:row r="5">
      <x:c r="A5" s="33" t="inlineStr">
        <x:is>
          <x:t xml:space="preserve">num_c (0..1)</x:t>
        </x:is>
      </x:c>
      <x:c r="B5" s="41" t="n">
        <x:v>0.5</x:v>
      </x:c>
      <x:c r="C5" s="3" t="inlineStr">
        <x:is>
          <x:t xml:space="preserve"/>
        </x:is>
      </x:c>
      <x:c r="E5" s="5" t="n">
        <x:v>6</x:v>
      </x:c>
      <x:c r="F5" s="3" t="inlineStr">
        <x:is>
          <x:t xml:space="preserve">B</x:t>
        </x:is>
      </x:c>
    </x:row>
    <x:row r="6">
      <x:c r="A6" s="33" t="inlineStr">
        <x:is>
          <x:t xml:space="preserve">int_n</x:t>
        </x:is>
      </x:c>
      <x:c r="B6" s="42" t="n">
        <x:v>7</x:v>
      </x:c>
      <x:c r="C6" s="3" t="inlineStr">
        <x:is>
          <x:t xml:space="preserve"/>
        </x:is>
      </x:c>
      <x:c r="E6" s="5" t="n">
        <x:v>6</x:v>
      </x:c>
      <x:c r="F6" s="3" t="inlineStr">
        <x:is>
          <x:t xml:space="preserve">C</x:t>
        </x:is>
      </x:c>
    </x:row>
    <x:row r="7">
      <x:c r="A7" s="33" t="inlineStr">
        <x:is>
          <x:t xml:space="preserve">int_k</x:t>
        </x:is>
      </x:c>
      <x:c r="B7" s="42" t="n">
        <x:v>4</x:v>
      </x:c>
      <x:c r="C7" s="3" t="inlineStr">
        <x:is>
          <x:t xml:space="preserve"/>
        </x:is>
      </x:c>
      <x:c r="E7" s="5" t="n">
        <x:v>4</x:v>
      </x:c>
      <x:c r="F7" s="3" t="inlineStr">
        <x:is>
          <x:t xml:space="preserve">C</x:t>
        </x:is>
      </x:c>
    </x:row>
    <x:row r="8">
      <x:c r="A8" s="33" t="inlineStr">
        <x:is>
          <x:t xml:space="preserve">text_raw</x:t>
        </x:is>
      </x:c>
      <x:c r="B8" s="42" t="inlineStr">
        <x:is>
          <x:t xml:space="preserve">  Sample   Text  </x:t>
        </x:is>
      </x:c>
      <x:c r="C8" s="3" t="inlineStr">
        <x:is>
          <x:t xml:space="preserve"/>
        </x:is>
      </x:c>
      <x:c r="E8" s="5" t="n">
        <x:v>3</x:v>
      </x:c>
      <x:c r="F8" s="3" t="inlineStr">
        <x:is>
          <x:t xml:space="preserve">C</x:t>
        </x:is>
      </x:c>
    </x:row>
    <x:row r="9">
      <x:c r="A9" s="33" t="inlineStr">
        <x:is>
          <x:t xml:space="preserve">text_find</x:t>
        </x:is>
      </x:c>
      <x:c r="B9" s="42" t="inlineStr">
        <x:is>
          <x:t xml:space="preserve">Text</x:t>
        </x:is>
      </x:c>
      <x:c r="C9" s="3" t="inlineStr">
        <x:is>
          <x:t xml:space="preserve"/>
        </x:is>
      </x:c>
      <x:c r="E9" s="5" t="n">
        <x:v>2</x:v>
      </x:c>
      <x:c r="F9" s="3" t="inlineStr">
        <x:is>
          <x:t xml:space="preserve">D</x:t>
        </x:is>
      </x:c>
    </x:row>
    <x:row r="10">
      <x:c r="A10" s="33" t="inlineStr">
        <x:is>
          <x:t xml:space="preserve">date_a</x:t>
        </x:is>
      </x:c>
      <x:c r="B10" s="43" t="n">
        <x:v>45672</x:v>
      </x:c>
      <x:c r="C10" s="3" t="inlineStr">
        <x:is>
          <x:t xml:space="preserve"/>
        </x:is>
      </x:c>
      <x:c r="E10" s="5" t="n">
        <x:v>2</x:v>
      </x:c>
      <x:c r="F10" s="3" t="inlineStr">
        <x:is>
          <x:t xml:space="preserve">D</x:t>
        </x:is>
      </x:c>
    </x:row>
    <x:row r="11">
      <x:c r="A11" s="33" t="inlineStr">
        <x:is>
          <x:t xml:space="preserve">date_b</x:t>
        </x:is>
      </x:c>
      <x:c r="B11" s="43" t="n">
        <x:v>45708</x:v>
      </x:c>
      <x:c r="C11" s="3" t="inlineStr">
        <x:is>
          <x:t xml:space="preserve"/>
        </x:is>
      </x:c>
      <x:c r="E11" s="5" t="n">
        <x:v>1</x:v>
      </x:c>
      <x:c r="F11" s="3" t="inlineStr">
        <x:is>
          <x:t xml:space="preserve">E</x:t>
        </x:is>
      </x:c>
    </x:row>
    <x:row r="12">
      <x:c r="A12" s="33" t="inlineStr">
        <x:is>
          <x:t xml:space="preserve">time_a</x:t>
        </x:is>
      </x:c>
      <x:c r="B12" s="44" t="n">
        <x:v>0.5732638888888889</x:v>
      </x:c>
      <x:c r="C12" s="3" t="inlineStr">
        <x:is>
          <x:t xml:space="preserve"/>
        </x:is>
      </x:c>
      <x:c r="E12" s="5" t="n">
        <x:v>0</x:v>
      </x:c>
      <x:c r="F12" s="3" t="inlineStr">
        <x:is>
          <x:t xml:space="preserve">E</x:t>
        </x:is>
      </x:c>
    </x:row>
    <x:row r="13">
      <x:c r="A13" s="33" t="inlineStr">
        <x:is>
          <x:t xml:space="preserve">logical_true</x:t>
        </x:is>
      </x:c>
      <x:c r="B13" s="42" t="b">
        <x:v>1</x:v>
      </x:c>
      <x:c r="C13" s="3" t="inlineStr">
        <x:is>
          <x:t xml:space="preserve"/>
        </x:is>
      </x:c>
    </x:row>
    <x:row r="14">
      <x:c r="A14" s="33" t="inlineStr">
        <x:is>
          <x:t xml:space="preserve">blank_cell</x:t>
        </x:is>
      </x:c>
      <x:c r="B14" s="42" t="n"/>
      <x:c r="C14" s="3" t="inlineStr">
        <x:is>
          <x:t xml:space="preserve"/>
        </x:is>
      </x:c>
    </x:row>
    <x:row r="15">
      <x:c r="A15" s="33" t="inlineStr">
        <x:is>
          <x:t xml:space="preserve">base_num</x:t>
        </x:is>
      </x:c>
      <x:c r="B15" s="42" t="n">
        <x:v>255</x:v>
      </x:c>
      <x:c r="C15" s="3" t="inlineStr">
        <x:is>
          <x:t xml:space="preserve"/>
        </x:is>
      </x:c>
    </x:row>
    <x:row r="16">
      <x:c r="A16" s="33" t="inlineStr">
        <x:is>
          <x:t xml:space="preserve">angle_deg</x:t>
        </x:is>
      </x:c>
      <x:c r="B16" s="42" t="n">
        <x:v>45</x:v>
      </x:c>
      <x:c r="C16" s="3" t="inlineStr">
        <x:is>
          <x:t xml:space="preserve"/>
        </x:is>
      </x:c>
    </x:row>
    <x:row r="20" ht="24" customHeight="1">
      <x:c r="A20" s="1" t="inlineStr">
        <x:is>
          <x:t xml:space="preserve">Function</x:t>
        </x:is>
      </x:c>
      <x:c r="B20" s="1" t="inlineStr">
        <x:is>
          <x:t xml:space="preserve">Example (copy into Google Sheets)</x:t>
        </x:is>
      </x:c>
      <x:c r="C20" s="1" t="inlineStr">
        <x:is>
          <x:t xml:space="preserve">Result (cached)</x:t>
        </x:is>
      </x:c>
      <x:c r="D20" s="1" t="inlineStr">
        <x:is>
          <x:t xml:space="preserve">Notes</x:t>
        </x:is>
      </x:c>
    </x:row>
    <x:row r="21">
      <x:c r="A21" s="45" t="inlineStr">
        <x:is>
          <x:t xml:space="preserve">IF</x:t>
        </x:is>
      </x:c>
      <x:c r="B21" s="45" t="inlineStr">
        <x:is>
          <x:t xml:space="preserve">'=IF($B$3&lt;0,"Neg","Pos")</x:t>
        </x:is>
      </x:c>
      <x:c r="C21" s="46" t="str">
        <x:f>IF($B$3&lt;0,"Neg","Pos")</x:f>
        <x:v>Neg</x:v>
      </x:c>
      <x:c r="D21" s="45" t="inlineStr">
        <x:is>
          <x:t xml:space="preserve"/>
        </x:is>
      </x:c>
    </x:row>
    <x:row r="22">
      <x:c r="A22" s="45" t="inlineStr">
        <x:is>
          <x:t xml:space="preserve">AND</x:t>
        </x:is>
      </x:c>
      <x:c r="B22" s="45" t="inlineStr">
        <x:is>
          <x:t xml:space="preserve">'=AND($B$3&lt;0,$B$4&gt;0)</x:t>
        </x:is>
      </x:c>
      <x:c r="C22" s="46" t="b">
        <x:f>AND($B$3&lt;0,$B$4&gt;0)</x:f>
        <x:v>1</x:v>
      </x:c>
      <x:c r="D22" s="45" t="inlineStr">
        <x:is>
          <x:t xml:space="preserve"/>
        </x:is>
      </x:c>
    </x:row>
    <x:row r="23">
      <x:c r="A23" s="45" t="inlineStr">
        <x:is>
          <x:t xml:space="preserve">OR</x:t>
        </x:is>
      </x:c>
      <x:c r="B23" s="45" t="inlineStr">
        <x:is>
          <x:t xml:space="preserve">'=OR($B$3&gt;0,$B$4&gt;0)</x:t>
        </x:is>
      </x:c>
      <x:c r="C23" s="46" t="b">
        <x:f>OR($B$3&gt;0,$B$4&gt;0)</x:f>
        <x:v>1</x:v>
      </x:c>
      <x:c r="D23" s="45" t="inlineStr">
        <x:is>
          <x:t xml:space="preserve"/>
        </x:is>
      </x:c>
    </x:row>
    <x:row r="24">
      <x:c r="A24" s="45" t="inlineStr">
        <x:is>
          <x:t xml:space="preserve">NOT</x:t>
        </x:is>
      </x:c>
      <x:c r="B24" s="45" t="inlineStr">
        <x:is>
          <x:t xml:space="preserve">'=NOT($B$3&gt;0)</x:t>
        </x:is>
      </x:c>
      <x:c r="C24" s="46" t="b">
        <x:f>NOT($B$3&gt;0)</x:f>
        <x:v>1</x:v>
      </x:c>
      <x:c r="D24" s="45" t="inlineStr">
        <x:is>
          <x:t xml:space="preserve"/>
        </x:is>
      </x:c>
    </x:row>
    <x:row r="25">
      <x:c r="A25" s="45" t="inlineStr">
        <x:is>
          <x:t xml:space="preserve">ABS</x:t>
        </x:is>
      </x:c>
      <x:c r="B25" s="45" t="inlineStr">
        <x:is>
          <x:t xml:space="preserve">'=ABS($B$3)</x:t>
        </x:is>
      </x:c>
      <x:c r="C25" s="46">
        <x:f>ABS($B$3)</x:f>
        <x:v>12.345</x:v>
      </x:c>
      <x:c r="D25" s="45" t="inlineStr">
        <x:is>
          <x:t xml:space="preserve"/>
        </x:is>
      </x:c>
    </x:row>
    <x:row r="26">
      <x:c r="A26" s="45" t="inlineStr">
        <x:is>
          <x:t xml:space="preserve">SQRT</x:t>
        </x:is>
      </x:c>
      <x:c r="B26" s="45" t="inlineStr">
        <x:is>
          <x:t xml:space="preserve">'=SQRT($B$4)</x:t>
        </x:is>
      </x:c>
      <x:c r="C26" s="46">
        <x:f>SQRT($B$4)</x:f>
        <x:v>2.808914381037628</x:v>
      </x:c>
      <x:c r="D26" s="45" t="inlineStr">
        <x:is>
          <x:t xml:space="preserve"/>
        </x:is>
      </x:c>
    </x:row>
    <x:row r="27">
      <x:c r="A27" s="45" t="inlineStr">
        <x:is>
          <x:t xml:space="preserve">ROUND</x:t>
        </x:is>
      </x:c>
      <x:c r="B27" s="45" t="inlineStr">
        <x:is>
          <x:t xml:space="preserve">'=ROUND($B$3,2)</x:t>
        </x:is>
      </x:c>
      <x:c r="C27" s="46">
        <x:f>ROUND($B$3,2)</x:f>
        <x:v>-12.34</x:v>
      </x:c>
      <x:c r="D27" s="45" t="inlineStr">
        <x:is>
          <x:t xml:space="preserve"/>
        </x:is>
      </x:c>
    </x:row>
    <x:row r="28">
      <x:c r="A28" s="45" t="inlineStr">
        <x:is>
          <x:t xml:space="preserve">LEN</x:t>
        </x:is>
      </x:c>
      <x:c r="B28" s="45" t="inlineStr">
        <x:is>
          <x:t xml:space="preserve">'=LEN($B$8)</x:t>
        </x:is>
      </x:c>
      <x:c r="C28" s="46">
        <x:f>LEN($B$8)</x:f>
        <x:v>17</x:v>
      </x:c>
      <x:c r="D28" s="45" t="inlineStr">
        <x:is>
          <x:t xml:space="preserve"/>
        </x:is>
      </x:c>
    </x:row>
    <x:row r="29">
      <x:c r="A29" s="45" t="inlineStr">
        <x:is>
          <x:t xml:space="preserve">LOWER</x:t>
        </x:is>
      </x:c>
      <x:c r="B29" s="45" t="inlineStr">
        <x:is>
          <x:t xml:space="preserve">'=LOWER($B$8)</x:t>
        </x:is>
      </x:c>
      <x:c r="C29" s="46" t="str">
        <x:f>LOWER($B$8)</x:f>
        <x:v>  sample   text  </x:v>
      </x:c>
      <x:c r="D29" s="45" t="inlineStr">
        <x:is>
          <x:t xml:space="preserve"/>
        </x:is>
      </x:c>
    </x:row>
    <x:row r="30">
      <x:c r="A30" s="45" t="inlineStr">
        <x:is>
          <x:t xml:space="preserve">UPPER</x:t>
        </x:is>
      </x:c>
      <x:c r="B30" s="45" t="inlineStr">
        <x:is>
          <x:t xml:space="preserve">'=UPPER($B$8)</x:t>
        </x:is>
      </x:c>
      <x:c r="C30" s="46" t="str">
        <x:f>UPPER($B$8)</x:f>
        <x:v>  SAMPLE   TEXT  </x:v>
      </x:c>
      <x:c r="D30" s="45" t="inlineStr">
        <x:is>
          <x:t xml:space="preserve"/>
        </x:is>
      </x:c>
    </x:row>
    <x:row r="31">
      <x:c r="A31" s="45" t="inlineStr">
        <x:is>
          <x:t xml:space="preserve">TRIM</x:t>
        </x:is>
      </x:c>
      <x:c r="B31" s="45" t="inlineStr">
        <x:is>
          <x:t xml:space="preserve">'=TRIM($B$8)</x:t>
        </x:is>
      </x:c>
      <x:c r="C31" s="46" t="str">
        <x:f>TRIM($B$8)</x:f>
        <x:v>Sample   Text</x:v>
      </x:c>
      <x:c r="D31" s="45" t="inlineStr">
        <x:is>
          <x:t xml:space="preserve"/>
        </x:is>
      </x:c>
    </x:row>
    <x:row r="32">
      <x:c r="A32" s="45" t="inlineStr">
        <x:is>
          <x:t xml:space="preserve">ISBLANK</x:t>
        </x:is>
      </x:c>
      <x:c r="B32" s="45" t="inlineStr">
        <x:is>
          <x:t xml:space="preserve">'=ISBLANK($B$14)</x:t>
        </x:is>
      </x:c>
      <x:c r="C32" s="46" t="b">
        <x:f>ISBLANK($B$14)</x:f>
        <x:v>1</x:v>
      </x:c>
      <x:c r="D32" s="45" t="inlineStr">
        <x:is>
          <x:t xml:space="preserve"/>
        </x:is>
      </x:c>
    </x:row>
    <x:row r="33">
      <x:c r="A33" s="45" t="inlineStr">
        <x:is>
          <x:t xml:space="preserve">FILTER</x:t>
        </x:is>
      </x:c>
      <x:c r="B33" s="45" t="inlineStr">
        <x:is>
          <x:t xml:space="preserve">'=FILTER($E$3:$E$12,$E$3:$E$12&gt;5)</x:t>
        </x:is>
      </x:c>
      <x:c r="C33" s="46" t="n"/>
      <x:c r="D33" s="45" t="inlineStr">
        <x:is>
          <x:t xml:space="preserve">Dynamic array; works in Google Sheets. Remove leading apostrophe after import.</x:t>
        </x:is>
      </x:c>
    </x:row>
    <x:row r="34">
      <x:c r="A34" s="45" t="inlineStr">
        <x:is>
          <x:t xml:space="preserve">SEQUENCE</x:t>
        </x:is>
      </x:c>
      <x:c r="B34" s="45" t="inlineStr">
        <x:is>
          <x:t xml:space="preserve">'=SEQUENCE(10,1,1,1)</x:t>
        </x:is>
      </x:c>
      <x:c r="C34" s="46" t="n"/>
      <x:c r="D34" s="45" t="inlineStr">
        <x:is>
          <x:t xml:space="preserve">Dynamic array; works in Google Sheets. Remove leading apostrophe after import.</x:t>
        </x:is>
      </x:c>
    </x:row>
    <x:row r="35">
      <x:c r="A35" s="45" t="inlineStr">
        <x:is>
          <x:t xml:space="preserve">TRANSPOSE</x:t>
        </x:is>
      </x:c>
      <x:c r="B35" s="45" t="inlineStr">
        <x:is>
          <x:t xml:space="preserve">'=INDEX(TRANSPOSE($E$3:$E$12),1,1)</x:t>
        </x:is>
      </x:c>
      <x:c r="C35" s="46">
        <x:f>INDEX(TRANSPOSE($E$3:$E$12),1,1)</x:f>
        <x:v>10</x:v>
      </x:c>
      <x:c r="D35" s="45" t="inlineStr">
        <x:is>
          <x:t xml:space="preserve"/>
        </x:is>
      </x:c>
    </x:row>
    <x:row r="36">
      <x:c r="A36" s="45" t="inlineStr">
        <x:is>
          <x:t xml:space="preserve">MUNIT</x:t>
        </x:is>
      </x:c>
      <x:c r="B36" s="45" t="inlineStr">
        <x:is>
          <x:t xml:space="preserve">'=INDEX(MUNIT(3),2,2)</x:t>
        </x:is>
      </x:c>
      <x:c r="C36" s="46">
        <x:f>INDEX(MUNIT(3),2,2)</x:f>
        <x:v>1</x:v>
      </x:c>
      <x:c r="D36" s="45" t="inlineStr">
        <x:is>
          <x:t xml:space="preserve"/>
        </x:is>
      </x:c>
    </x:row>
    <x:row r="37">
      <x:c r="A37" s="45" t="inlineStr">
        <x:is>
          <x:t xml:space="preserve">SUM</x:t>
        </x:is>
      </x:c>
      <x:c r="B37" s="45" t="inlineStr">
        <x:is>
          <x:t xml:space="preserve">'=SUM($E$3:$E$12)</x:t>
        </x:is>
      </x:c>
      <x:c r="C37" s="46">
        <x:f>SUM($E$3:$E$12)</x:f>
        <x:v>42</x:v>
      </x:c>
      <x:c r="D37" s="45" t="inlineStr">
        <x:is>
          <x:t xml:space="preserve"/>
        </x:is>
      </x:c>
    </x:row>
    <x:row r="38">
      <x:c r="A38" s="45" t="inlineStr">
        <x:is>
          <x:t xml:space="preserve">COUNT</x:t>
        </x:is>
      </x:c>
      <x:c r="B38" s="45" t="inlineStr">
        <x:is>
          <x:t xml:space="preserve">'=COUNT($E$3:$E$12)</x:t>
        </x:is>
      </x:c>
      <x:c r="C38" s="46">
        <x:f>COUNT($E$3:$E$12)</x:f>
        <x:v>10</x:v>
      </x:c>
      <x:c r="D38" s="45" t="inlineStr">
        <x:is>
          <x:t xml:space="preserve"/>
        </x:is>
      </x:c>
    </x:row>
    <x:row r="39">
      <x:c r="A39" s="45" t="inlineStr">
        <x:is>
          <x:t xml:space="preserve">COUNTA</x:t>
        </x:is>
      </x:c>
      <x:c r="B39" s="45" t="inlineStr">
        <x:is>
          <x:t xml:space="preserve">'=COUNTA($E$3:$E$12,$F$3:$F$12)</x:t>
        </x:is>
      </x:c>
      <x:c r="C39" s="46">
        <x:f>COUNTA($E$3:$E$12,$F$3:$F$12)</x:f>
        <x:v>20</x:v>
      </x:c>
      <x:c r="D39" s="45" t="inlineStr">
        <x:is>
          <x:t xml:space="preserve"/>
        </x:is>
      </x:c>
    </x:row>
    <x:row r="40">
      <x:c r="A40" s="45" t="inlineStr">
        <x:is>
          <x:t xml:space="preserve">AVERAGE</x:t>
        </x:is>
      </x:c>
      <x:c r="B40" s="45" t="inlineStr">
        <x:is>
          <x:t xml:space="preserve">'=AVERAGE($E$3:$E$12)</x:t>
        </x:is>
      </x:c>
      <x:c r="C40" s="46">
        <x:f>AVERAGE($E$3:$E$12)</x:f>
        <x:v>4.2</x:v>
      </x:c>
      <x:c r="D40" s="45" t="inlineStr">
        <x:is>
          <x:t xml:space="preserve"/>
        </x:is>
      </x:c>
    </x:row>
    <x:row r="41">
      <x:c r="A41" s="45" t="inlineStr">
        <x:is>
          <x:t xml:space="preserve">MIN</x:t>
        </x:is>
      </x:c>
      <x:c r="B41" s="45" t="inlineStr">
        <x:is>
          <x:t xml:space="preserve">'=MIN($E$3:$E$12)</x:t>
        </x:is>
      </x:c>
      <x:c r="C41" s="46">
        <x:f>MIN($E$3:$E$12)</x:f>
        <x:v>0</x:v>
      </x:c>
      <x:c r="D41" s="45" t="inlineStr">
        <x:is>
          <x:t xml:space="preserve"/>
        </x:is>
      </x:c>
    </x:row>
    <x:row r="42">
      <x:c r="A42" s="45" t="inlineStr">
        <x:is>
          <x:t xml:space="preserve">MAX</x:t>
        </x:is>
      </x:c>
      <x:c r="B42" s="45" t="inlineStr">
        <x:is>
          <x:t xml:space="preserve">'=MAX($E$3:$E$12)</x:t>
        </x:is>
      </x:c>
      <x:c r="C42" s="46">
        <x:f>MAX($E$3:$E$12)</x:f>
        <x:v>10</x:v>
      </x:c>
      <x:c r="D42" s="45" t="inlineStr">
        <x:is>
          <x:t xml:space="preserve"/>
        </x:is>
      </x:c>
    </x:row>
    <x:row r="43">
      <x:c r="A43" s="45" t="inlineStr">
        <x:is>
          <x:t xml:space="preserve">STDEV</x:t>
        </x:is>
      </x:c>
      <x:c r="B43" s="45" t="inlineStr">
        <x:is>
          <x:t xml:space="preserve">'=STDEV($E$3:$E$12)</x:t>
        </x:is>
      </x:c>
      <x:c r="C43" s="46" t="n"/>
      <x:c r="D43" s="45" t="inlineStr">
        <x:is>
          <x:t xml:space="preserve">Use STDEV.S(range) or STDEV.P(range) in Google Sheets/Excel.</x:t>
        </x:is>
      </x:c>
    </x:row>
    <x:row r="44">
      <x:c r="A44" s="45" t="inlineStr">
        <x:is>
          <x:t xml:space="preserve">VAR</x:t>
        </x:is>
      </x:c>
      <x:c r="B44" s="45" t="inlineStr">
        <x:is>
          <x:t xml:space="preserve">'=VAR($E$3:$E$12)</x:t>
        </x:is>
      </x:c>
      <x:c r="C44" s="46" t="n"/>
      <x:c r="D44" s="45" t="inlineStr">
        <x:is>
          <x:t xml:space="preserve">Use VAR.S(range) or VAR.P(range) in Google Sheets/Excel.</x:t>
        </x:is>
      </x:c>
    </x:row>
    <x:row r="45">
      <x:c r="A45" s="45" t="inlineStr">
        <x:is>
          <x:t xml:space="preserve">ROUNDUP</x:t>
        </x:is>
      </x:c>
      <x:c r="B45" s="45" t="inlineStr">
        <x:is>
          <x:t xml:space="preserve">'=ROUNDUP($B$4,0)</x:t>
        </x:is>
      </x:c>
      <x:c r="C45" s="46">
        <x:f>ROUNDUP($B$4,0)</x:f>
        <x:v>8</x:v>
      </x:c>
      <x:c r="D45" s="45" t="inlineStr">
        <x:is>
          <x:t xml:space="preserve"/>
        </x:is>
      </x:c>
    </x:row>
    <x:row r="46">
      <x:c r="A46" s="45" t="inlineStr">
        <x:is>
          <x:t xml:space="preserve">ROUNDDOWN</x:t>
        </x:is>
      </x:c>
      <x:c r="B46" s="45" t="inlineStr">
        <x:is>
          <x:t xml:space="preserve">'=ROUNDDOWN($B$4,0)</x:t>
        </x:is>
      </x:c>
      <x:c r="C46" s="46">
        <x:f>ROUNDDOWN($B$4,0)</x:f>
        <x:v>7</x:v>
      </x:c>
      <x:c r="D46" s="45" t="inlineStr">
        <x:is>
          <x:t xml:space="preserve"/>
        </x:is>
      </x:c>
    </x:row>
    <x:row r="47">
      <x:c r="A47" s="45" t="inlineStr">
        <x:is>
          <x:t xml:space="preserve">INT</x:t>
        </x:is>
      </x:c>
      <x:c r="B47" s="45" t="inlineStr">
        <x:is>
          <x:t xml:space="preserve">'=INT($B$3)</x:t>
        </x:is>
      </x:c>
      <x:c r="C47" s="46">
        <x:f>INT($B$3)</x:f>
        <x:v>-13</x:v>
      </x:c>
      <x:c r="D47" s="45" t="inlineStr">
        <x:is>
          <x:t xml:space="preserve"/>
        </x:is>
      </x:c>
    </x:row>
    <x:row r="48">
      <x:c r="A48" s="45" t="inlineStr">
        <x:is>
          <x:t xml:space="preserve">MOD</x:t>
        </x:is>
      </x:c>
      <x:c r="B48" s="45" t="inlineStr">
        <x:is>
          <x:t xml:space="preserve">'=MOD($B$6,$B$7)</x:t>
        </x:is>
      </x:c>
      <x:c r="C48" s="46">
        <x:f>MOD($B$6,$B$7)</x:f>
        <x:v>3</x:v>
      </x:c>
      <x:c r="D48" s="45" t="inlineStr">
        <x:is>
          <x:t xml:space="preserve"/>
        </x:is>
      </x:c>
    </x:row>
    <x:row r="49">
      <x:c r="A49" s="45" t="inlineStr">
        <x:is>
          <x:t xml:space="preserve">POWER</x:t>
        </x:is>
      </x:c>
      <x:c r="B49" s="45" t="inlineStr">
        <x:is>
          <x:t xml:space="preserve">'=POWER($B$4,2)</x:t>
        </x:is>
      </x:c>
      <x:c r="C49" s="46">
        <x:f>POWER($B$4,2)</x:f>
        <x:v>62.25209999999999</x:v>
      </x:c>
      <x:c r="D49" s="45" t="inlineStr">
        <x:is>
          <x:t xml:space="preserve"/>
        </x:is>
      </x:c>
    </x:row>
    <x:row r="50">
      <x:c r="A50" s="45" t="inlineStr">
        <x:is>
          <x:t xml:space="preserve">SIGN</x:t>
        </x:is>
      </x:c>
      <x:c r="B50" s="45" t="inlineStr">
        <x:is>
          <x:t xml:space="preserve">'=SIGN($B$3)</x:t>
        </x:is>
      </x:c>
      <x:c r="C50" s="46">
        <x:f>SIGN($B$3)</x:f>
        <x:v>-1</x:v>
      </x:c>
      <x:c r="D50" s="45" t="inlineStr">
        <x:is>
          <x:t xml:space="preserve"/>
        </x:is>
      </x:c>
    </x:row>
    <x:row r="51">
      <x:c r="A51" s="45" t="inlineStr">
        <x:is>
          <x:t xml:space="preserve">EVEN</x:t>
        </x:is>
      </x:c>
      <x:c r="B51" s="45" t="inlineStr">
        <x:is>
          <x:t xml:space="preserve">'=EVEN($B$3)</x:t>
        </x:is>
      </x:c>
      <x:c r="C51" s="46">
        <x:f>EVEN($B$3)</x:f>
      </x:c>
      <x:c r="D51" s="45" t="inlineStr">
        <x:is>
          <x:t xml:space="preserve"/>
        </x:is>
      </x:c>
    </x:row>
    <x:row r="52">
      <x:c r="A52" s="45" t="inlineStr">
        <x:is>
          <x:t xml:space="preserve">ODD</x:t>
        </x:is>
      </x:c>
      <x:c r="B52" s="45" t="inlineStr">
        <x:is>
          <x:t xml:space="preserve">'=ODD($B$3)</x:t>
        </x:is>
      </x:c>
      <x:c r="C52" s="46">
        <x:f>ODD($B$3)</x:f>
      </x:c>
      <x:c r="D52" s="45" t="inlineStr">
        <x:is>
          <x:t xml:space="preserve"/>
        </x:is>
      </x:c>
    </x:row>
    <x:row r="53">
      <x:c r="A53" s="45" t="inlineStr">
        <x:is>
          <x:t xml:space="preserve">TRUNC</x:t>
        </x:is>
      </x:c>
      <x:c r="B53" s="45" t="inlineStr">
        <x:is>
          <x:t xml:space="preserve">'=TRUNC($B$3,1)</x:t>
        </x:is>
      </x:c>
      <x:c r="C53" s="46">
        <x:f>TRUNC($B$3,1)</x:f>
      </x:c>
      <x:c r="D53" s="45" t="inlineStr">
        <x:is>
          <x:t xml:space="preserve"/>
        </x:is>
      </x:c>
    </x:row>
    <x:row r="54">
      <x:c r="A54" s="45" t="inlineStr">
        <x:is>
          <x:t xml:space="preserve">QUOTIENT</x:t>
        </x:is>
      </x:c>
      <x:c r="B54" s="45" t="inlineStr">
        <x:is>
          <x:t xml:space="preserve">'=QUOTIENT($B$6,$B$7)</x:t>
        </x:is>
      </x:c>
      <x:c r="C54" s="46">
        <x:f>QUOTIENT($B$6,$B$7)</x:f>
      </x:c>
      <x:c r="D54" s="45" t="inlineStr">
        <x:is>
          <x:t xml:space="preserve"/>
        </x:is>
      </x:c>
    </x:row>
    <x:row r="55">
      <x:c r="A55" s="45" t="inlineStr">
        <x:is>
          <x:t xml:space="preserve">EXP</x:t>
        </x:is>
      </x:c>
      <x:c r="B55" s="45" t="inlineStr">
        <x:is>
          <x:t xml:space="preserve">'=EXP($B$5)</x:t>
        </x:is>
      </x:c>
      <x:c r="C55" s="46">
        <x:f>EXP($B$5)</x:f>
      </x:c>
      <x:c r="D55" s="45" t="inlineStr">
        <x:is>
          <x:t xml:space="preserve"/>
        </x:is>
      </x:c>
    </x:row>
    <x:row r="56">
      <x:c r="A56" s="45" t="inlineStr">
        <x:is>
          <x:t xml:space="preserve">LN</x:t>
        </x:is>
      </x:c>
      <x:c r="B56" s="45" t="inlineStr">
        <x:is>
          <x:t xml:space="preserve">'=LN($B$4)</x:t>
        </x:is>
      </x:c>
      <x:c r="C56" s="46">
        <x:f>LN($B$4)</x:f>
      </x:c>
      <x:c r="D56" s="45" t="inlineStr">
        <x:is>
          <x:t xml:space="preserve"/>
        </x:is>
      </x:c>
    </x:row>
    <x:row r="57">
      <x:c r="A57" s="45" t="inlineStr">
        <x:is>
          <x:t xml:space="preserve">LOG</x:t>
        </x:is>
      </x:c>
      <x:c r="B57" s="45" t="inlineStr">
        <x:is>
          <x:t xml:space="preserve">'=LOG($B$4,10)</x:t>
        </x:is>
      </x:c>
      <x:c r="C57" s="46">
        <x:f>LOG($B$4,10)</x:f>
      </x:c>
      <x:c r="D57" s="45" t="inlineStr">
        <x:is>
          <x:t xml:space="preserve"/>
        </x:is>
      </x:c>
    </x:row>
    <x:row r="58">
      <x:c r="A58" s="45" t="inlineStr">
        <x:is>
          <x:t xml:space="preserve">LOG10</x:t>
        </x:is>
      </x:c>
      <x:c r="B58" s="45" t="inlineStr">
        <x:is>
          <x:t xml:space="preserve">'=LOG10($B$4)</x:t>
        </x:is>
      </x:c>
      <x:c r="C58" s="46">
        <x:f>LOG10($B$4)</x:f>
      </x:c>
      <x:c r="D58" s="45" t="inlineStr">
        <x:is>
          <x:t xml:space="preserve"/>
        </x:is>
      </x:c>
    </x:row>
    <x:row r="59">
      <x:c r="A59" s="45" t="inlineStr">
        <x:is>
          <x:t xml:space="preserve">PRODUCT</x:t>
        </x:is>
      </x:c>
      <x:c r="B59" s="45" t="inlineStr">
        <x:is>
          <x:t xml:space="preserve">'=PRODUCT($E$3:$E$6)</x:t>
        </x:is>
      </x:c>
      <x:c r="C59" s="46">
        <x:f>PRODUCT($E$3:$E$6)</x:f>
      </x:c>
      <x:c r="D59" s="45" t="inlineStr">
        <x:is>
          <x:t xml:space="preserve"/>
        </x:is>
      </x:c>
    </x:row>
    <x:row r="60">
      <x:c r="A60" s="45" t="inlineStr">
        <x:is>
          <x:t xml:space="preserve">FACT</x:t>
        </x:is>
      </x:c>
      <x:c r="B60" s="45" t="inlineStr">
        <x:is>
          <x:t xml:space="preserve">'=FACT($B$7)</x:t>
        </x:is>
      </x:c>
      <x:c r="C60" s="46">
        <x:f>FACT($B$7)</x:f>
      </x:c>
      <x:c r="D60" s="45" t="inlineStr">
        <x:is>
          <x:t xml:space="preserve"/>
        </x:is>
      </x:c>
    </x:row>
    <x:row r="61">
      <x:c r="A61" s="45" t="inlineStr">
        <x:is>
          <x:t xml:space="preserve">FACTDOUBLE</x:t>
        </x:is>
      </x:c>
      <x:c r="B61" s="45" t="inlineStr">
        <x:is>
          <x:t xml:space="preserve">'=FACTDOUBLE($B$6)</x:t>
        </x:is>
      </x:c>
      <x:c r="C61" s="46">
        <x:f>FACTDOUBLE($B$6)</x:f>
      </x:c>
      <x:c r="D61" s="45" t="inlineStr">
        <x:is>
          <x:t xml:space="preserve"/>
        </x:is>
      </x:c>
    </x:row>
    <x:row r="62">
      <x:c r="A62" s="45" t="inlineStr">
        <x:is>
          <x:t xml:space="preserve">COMBIN</x:t>
        </x:is>
      </x:c>
      <x:c r="B62" s="45" t="inlineStr">
        <x:is>
          <x:t xml:space="preserve">'=COMBIN($B$6,$B$7)</x:t>
        </x:is>
      </x:c>
      <x:c r="C62" s="46">
        <x:f>COMBIN($B$6,$B$7)</x:f>
      </x:c>
      <x:c r="D62" s="45" t="inlineStr">
        <x:is>
          <x:t xml:space="preserve"/>
        </x:is>
      </x:c>
    </x:row>
    <x:row r="63">
      <x:c r="A63" s="45" t="inlineStr">
        <x:is>
          <x:t xml:space="preserve">PERMUT</x:t>
        </x:is>
      </x:c>
      <x:c r="B63" s="45" t="inlineStr">
        <x:is>
          <x:t xml:space="preserve">'=PERMUT($B$6,$B$7)</x:t>
        </x:is>
      </x:c>
      <x:c r="C63" s="46">
        <x:f>PERMUT($B$6,$B$7)</x:f>
      </x:c>
      <x:c r="D63" s="45" t="inlineStr">
        <x:is>
          <x:t xml:space="preserve"/>
        </x:is>
      </x:c>
    </x:row>
    <x:row r="64">
      <x:c r="A64" s="45" t="inlineStr">
        <x:is>
          <x:t xml:space="preserve">SQRTPI</x:t>
        </x:is>
      </x:c>
      <x:c r="B64" s="45" t="inlineStr">
        <x:is>
          <x:t xml:space="preserve">'=SQRTPI($B$5)</x:t>
        </x:is>
      </x:c>
      <x:c r="C64" s="46">
        <x:f>SQRTPI($B$5)</x:f>
      </x:c>
      <x:c r="D64" s="45" t="inlineStr">
        <x:is>
          <x:t xml:space="preserve"/>
        </x:is>
      </x:c>
    </x:row>
    <x:row r="65">
      <x:c r="A65" s="45" t="inlineStr">
        <x:is>
          <x:t xml:space="preserve">GCD</x:t>
        </x:is>
      </x:c>
      <x:c r="B65" s="45" t="inlineStr">
        <x:is>
          <x:t xml:space="preserve">'=GCD($B$6,$B$7)</x:t>
        </x:is>
      </x:c>
      <x:c r="C65" s="46">
        <x:f>GCD($B$6,$B$7)</x:f>
      </x:c>
      <x:c r="D65" s="45" t="inlineStr">
        <x:is>
          <x:t xml:space="preserve"/>
        </x:is>
      </x:c>
    </x:row>
    <x:row r="66">
      <x:c r="A66" s="45" t="inlineStr">
        <x:is>
          <x:t xml:space="preserve">LCM</x:t>
        </x:is>
      </x:c>
      <x:c r="B66" s="45" t="inlineStr">
        <x:is>
          <x:t xml:space="preserve">'=LCM($B$6,$B$7)</x:t>
        </x:is>
      </x:c>
      <x:c r="C66" s="46">
        <x:f>LCM($B$6,$B$7)</x:f>
      </x:c>
      <x:c r="D66" s="45" t="inlineStr">
        <x:is>
          <x:t xml:space="preserve"/>
        </x:is>
      </x:c>
    </x:row>
    <x:row r="67">
      <x:c r="A67" s="45" t="inlineStr">
        <x:is>
          <x:t xml:space="preserve">SUMSQ</x:t>
        </x:is>
      </x:c>
      <x:c r="B67" s="45" t="inlineStr">
        <x:is>
          <x:t xml:space="preserve">'=SUMSQ($E$3:$E$12)</x:t>
        </x:is>
      </x:c>
      <x:c r="C67" s="46">
        <x:f>SUMSQ($E$3:$E$12)</x:f>
      </x:c>
      <x:c r="D67" s="45" t="inlineStr">
        <x:is>
          <x:t xml:space="preserve"/>
        </x:is>
      </x:c>
    </x:row>
    <x:row r="68">
      <x:c r="A68" s="45" t="inlineStr">
        <x:is>
          <x:t xml:space="preserve">MROUND</x:t>
        </x:is>
      </x:c>
      <x:c r="B68" s="45" t="inlineStr">
        <x:is>
          <x:t xml:space="preserve">'=MROUND($B$4,0.5)</x:t>
        </x:is>
      </x:c>
      <x:c r="C68" s="46">
        <x:f>MROUND($B$4,0.5)</x:f>
      </x:c>
      <x:c r="D68" s="45" t="inlineStr">
        <x:is>
          <x:t xml:space="preserve"/>
        </x:is>
      </x:c>
    </x:row>
    <x:row r="69">
      <x:c r="A69" s="45" t="inlineStr">
        <x:is>
          <x:t xml:space="preserve">CEILING</x:t>
        </x:is>
      </x:c>
      <x:c r="B69" s="45" t="inlineStr">
        <x:is>
          <x:t xml:space="preserve">'=CEILING($B$4,1)</x:t>
        </x:is>
      </x:c>
      <x:c r="C69" s="46">
        <x:f>CEILING($B$4,1)</x:f>
      </x:c>
      <x:c r="D69" s="45" t="inlineStr">
        <x:is>
          <x:t xml:space="preserve"/>
        </x:is>
      </x:c>
    </x:row>
    <x:row r="70">
      <x:c r="A70" s="45" t="inlineStr">
        <x:is>
          <x:t xml:space="preserve">FLOOR</x:t>
        </x:is>
      </x:c>
      <x:c r="B70" s="45" t="inlineStr">
        <x:is>
          <x:t xml:space="preserve">'=FLOOR($B$4,1)</x:t>
        </x:is>
      </x:c>
      <x:c r="C70" s="46">
        <x:f>FLOOR($B$4,1)</x:f>
      </x:c>
      <x:c r="D70" s="45" t="inlineStr">
        <x:is>
          <x:t xml:space="preserve"/>
        </x:is>
      </x:c>
    </x:row>
    <x:row r="71">
      <x:c r="A71" s="45" t="inlineStr">
        <x:is>
          <x:t xml:space="preserve">LEFT</x:t>
        </x:is>
      </x:c>
      <x:c r="B71" s="45" t="inlineStr">
        <x:is>
          <x:t xml:space="preserve">'=LEFT($B$8,6)</x:t>
        </x:is>
      </x:c>
      <x:c r="C71" s="46">
        <x:f>LEFT($B$8,6)</x:f>
      </x:c>
      <x:c r="D71" s="45" t="inlineStr">
        <x:is>
          <x:t xml:space="preserve"/>
        </x:is>
      </x:c>
    </x:row>
    <x:row r="72">
      <x:c r="A72" s="45" t="inlineStr">
        <x:is>
          <x:t xml:space="preserve">RIGHT</x:t>
        </x:is>
      </x:c>
      <x:c r="B72" s="45" t="inlineStr">
        <x:is>
          <x:t xml:space="preserve">'=RIGHT($B$8,4)</x:t>
        </x:is>
      </x:c>
      <x:c r="C72" s="46">
        <x:f>RIGHT($B$8,4)</x:f>
      </x:c>
      <x:c r="D72" s="45" t="inlineStr">
        <x:is>
          <x:t xml:space="preserve"/>
        </x:is>
      </x:c>
    </x:row>
    <x:row r="73">
      <x:c r="A73" s="45" t="inlineStr">
        <x:is>
          <x:t xml:space="preserve">MID</x:t>
        </x:is>
      </x:c>
      <x:c r="B73" s="45" t="inlineStr">
        <x:is>
          <x:t xml:space="preserve">'=MID($B$8,3,6)</x:t>
        </x:is>
      </x:c>
      <x:c r="C73" s="46">
        <x:f>MID($B$8,3,6)</x:f>
      </x:c>
      <x:c r="D73" s="45" t="inlineStr">
        <x:is>
          <x:t xml:space="preserve"/>
        </x:is>
      </x:c>
    </x:row>
    <x:row r="74">
      <x:c r="A74" s="45" t="inlineStr">
        <x:is>
          <x:t xml:space="preserve">CONCATENATE</x:t>
        </x:is>
      </x:c>
      <x:c r="B74" s="45" t="inlineStr">
        <x:is>
          <x:t xml:space="preserve">'=CONCATENATE("A","-","B")</x:t>
        </x:is>
      </x:c>
      <x:c r="C74" s="46">
        <x:f>CONCATENATE("A","-","B")</x:f>
      </x:c>
      <x:c r="D74" s="45" t="inlineStr">
        <x:is>
          <x:t xml:space="preserve"/>
        </x:is>
      </x:c>
    </x:row>
    <x:row r="75">
      <x:c r="A75" s="45" t="inlineStr">
        <x:is>
          <x:t xml:space="preserve">CONCAT</x:t>
        </x:is>
      </x:c>
      <x:c r="B75" s="45" t="inlineStr">
        <x:is>
          <x:t xml:space="preserve">'=CONCAT("Rev"," ","2025")</x:t>
        </x:is>
      </x:c>
      <x:c r="C75" s="46">
        <x:f>CONCAT("Rev"," ","2025")</x:f>
      </x:c>
      <x:c r="D75" s="45" t="inlineStr">
        <x:is>
          <x:t xml:space="preserve"/>
        </x:is>
      </x:c>
    </x:row>
    <x:row r="76">
      <x:c r="A76" s="45" t="inlineStr">
        <x:is>
          <x:t xml:space="preserve">FIND</x:t>
        </x:is>
      </x:c>
      <x:c r="B76" s="45" t="inlineStr">
        <x:is>
          <x:t xml:space="preserve">'=FIND($B$9,$B$8)</x:t>
        </x:is>
      </x:c>
      <x:c r="C76" s="46">
        <x:f>FIND($B$9,$B$8)</x:f>
      </x:c>
      <x:c r="D76" s="45" t="inlineStr">
        <x:is>
          <x:t xml:space="preserve"/>
        </x:is>
      </x:c>
    </x:row>
    <x:row r="77">
      <x:c r="A77" s="45" t="inlineStr">
        <x:is>
          <x:t xml:space="preserve">SEARCH</x:t>
        </x:is>
      </x:c>
      <x:c r="B77" s="45" t="inlineStr">
        <x:is>
          <x:t xml:space="preserve">'=SEARCH("text",$B$8)</x:t>
        </x:is>
      </x:c>
      <x:c r="C77" s="46">
        <x:f>SEARCH("text",$B$8)</x:f>
      </x:c>
      <x:c r="D77" s="45" t="inlineStr">
        <x:is>
          <x:t xml:space="preserve"/>
        </x:is>
      </x:c>
    </x:row>
    <x:row r="78">
      <x:c r="A78" s="45" t="inlineStr">
        <x:is>
          <x:t xml:space="preserve">SUBSTITUTE</x:t>
        </x:is>
      </x:c>
      <x:c r="B78" s="45" t="inlineStr">
        <x:is>
          <x:t xml:space="preserve">'=SUBSTITUTE($B$8,"Text","Data")</x:t>
        </x:is>
      </x:c>
      <x:c r="C78" s="46">
        <x:f>SUBSTITUTE($B$8,"Text","Data")</x:f>
      </x:c>
      <x:c r="D78" s="45" t="inlineStr">
        <x:is>
          <x:t xml:space="preserve"/>
        </x:is>
      </x:c>
    </x:row>
    <x:row r="79">
      <x:c r="A79" s="45" t="inlineStr">
        <x:is>
          <x:t xml:space="preserve">PROPER</x:t>
        </x:is>
      </x:c>
      <x:c r="B79" s="45" t="inlineStr">
        <x:is>
          <x:t xml:space="preserve">'=PROPER($B$8)</x:t>
        </x:is>
      </x:c>
      <x:c r="C79" s="46">
        <x:f>PROPER($B$8)</x:f>
      </x:c>
      <x:c r="D79" s="45" t="inlineStr">
        <x:is>
          <x:t xml:space="preserve"/>
        </x:is>
      </x:c>
    </x:row>
    <x:row r="80">
      <x:c r="A80" s="45" t="inlineStr">
        <x:is>
          <x:t xml:space="preserve">VALUE</x:t>
        </x:is>
      </x:c>
      <x:c r="B80" s="45" t="inlineStr">
        <x:is>
          <x:t xml:space="preserve">'=VALUE("123.45")</x:t>
        </x:is>
      </x:c>
      <x:c r="C80" s="46">
        <x:f>VALUE("123.45")</x:f>
      </x:c>
      <x:c r="D80" s="45" t="inlineStr">
        <x:is>
          <x:t xml:space="preserve"/>
        </x:is>
      </x:c>
    </x:row>
    <x:row r="81">
      <x:c r="A81" s="45" t="inlineStr">
        <x:is>
          <x:t xml:space="preserve">TEXTJOIN</x:t>
        </x:is>
      </x:c>
      <x:c r="B81" s="45" t="inlineStr">
        <x:is>
          <x:t xml:space="preserve">'=TEXTJOIN(", ",TRUE,"A","B","C")</x:t>
        </x:is>
      </x:c>
      <x:c r="C81" s="46">
        <x:f>TEXTJOIN(", ",TRUE,"A","B","C")</x:f>
      </x:c>
      <x:c r="D81" s="45" t="inlineStr">
        <x:is>
          <x:t xml:space="preserve"/>
        </x:is>
      </x:c>
    </x:row>
    <x:row r="82">
      <x:c r="A82" s="45" t="inlineStr">
        <x:is>
          <x:t xml:space="preserve">REPLACE</x:t>
        </x:is>
      </x:c>
      <x:c r="B82" s="45" t="inlineStr">
        <x:is>
          <x:t xml:space="preserve">'=REPLACE("Finance",1,3,"Fin")</x:t>
        </x:is>
      </x:c>
      <x:c r="C82" s="46">
        <x:f>REPLACE("Finance",1,3,"Fin")</x:f>
      </x:c>
      <x:c r="D82" s="45" t="inlineStr">
        <x:is>
          <x:t xml:space="preserve"/>
        </x:is>
      </x:c>
    </x:row>
    <x:row r="83">
      <x:c r="A83" s="45" t="inlineStr">
        <x:is>
          <x:t xml:space="preserve">CLEAN</x:t>
        </x:is>
      </x:c>
      <x:c r="B83" s="45" t="inlineStr">
        <x:is>
          <x:t xml:space="preserve">'=CLEAN("Test"&amp;CHAR(10))</x:t>
        </x:is>
      </x:c>
      <x:c r="C83" s="46">
        <x:f>CLEAN("Test"&amp;CHAR(10))</x:f>
      </x:c>
      <x:c r="D83" s="45" t="inlineStr">
        <x:is>
          <x:t xml:space="preserve"/>
        </x:is>
      </x:c>
    </x:row>
    <x:row r="84">
      <x:c r="A84" s="45" t="inlineStr">
        <x:is>
          <x:t xml:space="preserve">CHAR</x:t>
        </x:is>
      </x:c>
      <x:c r="B84" s="45" t="inlineStr">
        <x:is>
          <x:t xml:space="preserve">'=CHAR(65)</x:t>
        </x:is>
      </x:c>
      <x:c r="C84" s="46">
        <x:f>CHAR(65)</x:f>
      </x:c>
      <x:c r="D84" s="45" t="inlineStr">
        <x:is>
          <x:t xml:space="preserve"/>
        </x:is>
      </x:c>
    </x:row>
    <x:row r="85">
      <x:c r="A85" s="45" t="inlineStr">
        <x:is>
          <x:t xml:space="preserve">CODE</x:t>
        </x:is>
      </x:c>
      <x:c r="B85" s="45" t="inlineStr">
        <x:is>
          <x:t xml:space="preserve">'=CODE("A")</x:t>
        </x:is>
      </x:c>
      <x:c r="C85" s="46">
        <x:f>CODE("A")</x:f>
      </x:c>
      <x:c r="D85" s="45" t="inlineStr">
        <x:is>
          <x:t xml:space="preserve"/>
        </x:is>
      </x:c>
    </x:row>
    <x:row r="86">
      <x:c r="A86" s="45" t="inlineStr">
        <x:is>
          <x:t xml:space="preserve">EXACT</x:t>
        </x:is>
      </x:c>
      <x:c r="B86" s="45" t="inlineStr">
        <x:is>
          <x:t xml:space="preserve">'=EXACT("a","A")</x:t>
        </x:is>
      </x:c>
      <x:c r="C86" s="46">
        <x:f>EXACT("a","A")</x:f>
      </x:c>
      <x:c r="D86" s="45" t="inlineStr">
        <x:is>
          <x:t xml:space="preserve"/>
        </x:is>
      </x:c>
    </x:row>
    <x:row r="87">
      <x:c r="A87" s="45" t="inlineStr">
        <x:is>
          <x:t xml:space="preserve">REPT</x:t>
        </x:is>
      </x:c>
      <x:c r="B87" s="45" t="inlineStr">
        <x:is>
          <x:t xml:space="preserve">'=REPT("*",5)</x:t>
        </x:is>
      </x:c>
      <x:c r="C87" s="46">
        <x:f>REPT("*",5)</x:f>
      </x:c>
      <x:c r="D87" s="45" t="inlineStr">
        <x:is>
          <x:t xml:space="preserve"/>
        </x:is>
      </x:c>
    </x:row>
    <x:row r="88">
      <x:c r="A88" s="45" t="inlineStr">
        <x:is>
          <x:t xml:space="preserve">IFERROR</x:t>
        </x:is>
      </x:c>
      <x:c r="B88" s="45" t="inlineStr">
        <x:is>
          <x:t xml:space="preserve">'=IFERROR(1/0,"err")</x:t>
        </x:is>
      </x:c>
      <x:c r="C88" s="46">
        <x:f>IFERROR(1/0,"err")</x:f>
      </x:c>
      <x:c r="D88" s="45" t="inlineStr">
        <x:is>
          <x:t xml:space="preserve"/>
        </x:is>
      </x:c>
    </x:row>
    <x:row r="89">
      <x:c r="A89" s="45" t="inlineStr">
        <x:is>
          <x:t xml:space="preserve">IFNA</x:t>
        </x:is>
      </x:c>
      <x:c r="B89" s="45" t="inlineStr">
        <x:is>
          <x:t xml:space="preserve">'=IFNA(NA(),0)</x:t>
        </x:is>
      </x:c>
      <x:c r="C89" s="46">
        <x:f>IFNA(NA(),0)</x:f>
      </x:c>
      <x:c r="D89" s="45" t="inlineStr">
        <x:is>
          <x:t xml:space="preserve"/>
        </x:is>
      </x:c>
    </x:row>
    <x:row r="90">
      <x:c r="A90" s="45" t="inlineStr">
        <x:is>
          <x:t xml:space="preserve">IFS</x:t>
        </x:is>
      </x:c>
      <x:c r="B90" s="45" t="inlineStr">
        <x:is>
          <x:t xml:space="preserve">'=IFS($B$4&lt;0,"Neg",$B$4&lt;5,"Small",TRUE,"Large")</x:t>
        </x:is>
      </x:c>
      <x:c r="C90" s="46">
        <x:f>IFS($B$4&lt;0,"Neg",$B$4&lt;5,"Small",TRUE,"Large")</x:f>
      </x:c>
      <x:c r="D90" s="45" t="inlineStr">
        <x:is>
          <x:t xml:space="preserve"/>
        </x:is>
      </x:c>
    </x:row>
    <x:row r="91">
      <x:c r="A91" s="45" t="inlineStr">
        <x:is>
          <x:t xml:space="preserve">SWITCH</x:t>
        </x:is>
      </x:c>
      <x:c r="B91" s="45" t="inlineStr">
        <x:is>
          <x:t xml:space="preserve">'=SWITCH($B$7,1,"One",4,"Four","Other")</x:t>
        </x:is>
      </x:c>
      <x:c r="C91" s="46">
        <x:f>SWITCH($B$7,1,"One",4,"Four","Other")</x:f>
      </x:c>
      <x:c r="D91" s="45" t="inlineStr">
        <x:is>
          <x:t xml:space="preserve"/>
        </x:is>
      </x:c>
    </x:row>
    <x:row r="92">
      <x:c r="A92" s="45" t="inlineStr">
        <x:is>
          <x:t xml:space="preserve">XOR</x:t>
        </x:is>
      </x:c>
      <x:c r="B92" s="45" t="inlineStr">
        <x:is>
          <x:t xml:space="preserve">'=XOR(TRUE,FALSE)</x:t>
        </x:is>
      </x:c>
      <x:c r="C92" s="46">
        <x:f>XOR(TRUE,FALSE)</x:f>
      </x:c>
      <x:c r="D92" s="45" t="inlineStr">
        <x:is>
          <x:t xml:space="preserve"/>
        </x:is>
      </x:c>
    </x:row>
    <x:row r="93">
      <x:c r="A93" s="45" t="inlineStr">
        <x:is>
          <x:t xml:space="preserve">ISNUMBER</x:t>
        </x:is>
      </x:c>
      <x:c r="B93" s="45" t="inlineStr">
        <x:is>
          <x:t xml:space="preserve">'=ISNUMBER($B$4)</x:t>
        </x:is>
      </x:c>
      <x:c r="C93" s="46">
        <x:f>ISNUMBER($B$4)</x:f>
      </x:c>
      <x:c r="D93" s="45" t="inlineStr">
        <x:is>
          <x:t xml:space="preserve"/>
        </x:is>
      </x:c>
    </x:row>
    <x:row r="94">
      <x:c r="A94" s="45" t="inlineStr">
        <x:is>
          <x:t xml:space="preserve">ISTEXT</x:t>
        </x:is>
      </x:c>
      <x:c r="B94" s="45" t="inlineStr">
        <x:is>
          <x:t xml:space="preserve">'=ISTEXT($B$8)</x:t>
        </x:is>
      </x:c>
      <x:c r="C94" s="46">
        <x:f>ISTEXT($B$8)</x:f>
      </x:c>
      <x:c r="D94" s="45" t="inlineStr">
        <x:is>
          <x:t xml:space="preserve"/>
        </x:is>
      </x:c>
    </x:row>
    <x:row r="95">
      <x:c r="A95" s="45" t="inlineStr">
        <x:is>
          <x:t xml:space="preserve">ISERROR</x:t>
        </x:is>
      </x:c>
      <x:c r="B95" s="45" t="inlineStr">
        <x:is>
          <x:t xml:space="preserve">'=ISERROR(NA())</x:t>
        </x:is>
      </x:c>
      <x:c r="C95" s="46">
        <x:f>ISERROR(NA())</x:f>
      </x:c>
      <x:c r="D95" s="45" t="inlineStr">
        <x:is>
          <x:t xml:space="preserve"/>
        </x:is>
      </x:c>
    </x:row>
    <x:row r="96">
      <x:c r="A96" s="45" t="inlineStr">
        <x:is>
          <x:t xml:space="preserve">ISEVEN</x:t>
        </x:is>
      </x:c>
      <x:c r="B96" s="45" t="inlineStr">
        <x:is>
          <x:t xml:space="preserve">'=ISEVEN($B$6)</x:t>
        </x:is>
      </x:c>
      <x:c r="C96" s="46">
        <x:f>ISEVEN($B$6)</x:f>
      </x:c>
      <x:c r="D96" s="45" t="inlineStr">
        <x:is>
          <x:t xml:space="preserve"/>
        </x:is>
      </x:c>
    </x:row>
    <x:row r="97">
      <x:c r="A97" s="45" t="inlineStr">
        <x:is>
          <x:t xml:space="preserve">ISODD</x:t>
        </x:is>
      </x:c>
      <x:c r="B97" s="45" t="inlineStr">
        <x:is>
          <x:t xml:space="preserve">'=ISODD($B$6)</x:t>
        </x:is>
      </x:c>
      <x:c r="C97" s="46">
        <x:f>ISODD($B$6)</x:f>
      </x:c>
      <x:c r="D97" s="45" t="inlineStr">
        <x:is>
          <x:t xml:space="preserve"/>
        </x:is>
      </x:c>
    </x:row>
    <x:row r="98">
      <x:c r="A98" s="45" t="inlineStr">
        <x:is>
          <x:t xml:space="preserve">ISLOGICAL</x:t>
        </x:is>
      </x:c>
      <x:c r="B98" s="45" t="inlineStr">
        <x:is>
          <x:t xml:space="preserve">'=ISLOGICAL($B$13)</x:t>
        </x:is>
      </x:c>
      <x:c r="C98" s="46">
        <x:f>ISLOGICAL($B$13)</x:f>
      </x:c>
      <x:c r="D98" s="45" t="inlineStr">
        <x:is>
          <x:t xml:space="preserve"/>
        </x:is>
      </x:c>
    </x:row>
    <x:row r="99">
      <x:c r="A99" s="45" t="inlineStr">
        <x:is>
          <x:t xml:space="preserve">ISNONTEXT</x:t>
        </x:is>
      </x:c>
      <x:c r="B99" s="45" t="inlineStr">
        <x:is>
          <x:t xml:space="preserve">'=ISNONTEXT($B$4)</x:t>
        </x:is>
      </x:c>
      <x:c r="C99" s="46">
        <x:f>ISNONTEXT($B$4)</x:f>
      </x:c>
      <x:c r="D99" s="45" t="inlineStr">
        <x:is>
          <x:t xml:space="preserve"/>
        </x:is>
      </x:c>
    </x:row>
    <x:row r="100">
      <x:c r="A100" s="45" t="inlineStr">
        <x:is>
          <x:t xml:space="preserve">ISNA</x:t>
        </x:is>
      </x:c>
      <x:c r="B100" s="45" t="inlineStr">
        <x:is>
          <x:t xml:space="preserve">'=ISNA(NA())</x:t>
        </x:is>
      </x:c>
      <x:c r="C100" s="46">
        <x:f>ISNA(NA())</x:f>
      </x:c>
      <x:c r="D100" s="45" t="inlineStr">
        <x:is>
          <x:t xml:space="preserve"/>
        </x:is>
      </x:c>
    </x:row>
    <x:row r="101">
      <x:c r="A101" s="45" t="inlineStr">
        <x:is>
          <x:t xml:space="preserve">ISERR</x:t>
        </x:is>
      </x:c>
      <x:c r="B101" s="45" t="inlineStr">
        <x:is>
          <x:t xml:space="preserve">'=ISERR(NA())</x:t>
        </x:is>
      </x:c>
      <x:c r="C101" s="46">
        <x:f>ISERR(NA())</x:f>
      </x:c>
      <x:c r="D101" s="45" t="inlineStr">
        <x:is>
          <x:t xml:space="preserve"/>
        </x:is>
      </x:c>
    </x:row>
    <x:row r="102">
      <x:c r="A102" s="45" t="inlineStr">
        <x:is>
          <x:t xml:space="preserve">N</x:t>
        </x:is>
      </x:c>
      <x:c r="B102" s="45" t="inlineStr">
        <x:is>
          <x:t xml:space="preserve">'=N($B$13)</x:t>
        </x:is>
      </x:c>
      <x:c r="C102" s="46">
        <x:f>N($B$13)</x:f>
      </x:c>
      <x:c r="D102" s="45" t="inlineStr">
        <x:is>
          <x:t xml:space="preserve"/>
        </x:is>
      </x:c>
    </x:row>
    <x:row r="103">
      <x:c r="A103" s="45" t="inlineStr">
        <x:is>
          <x:t xml:space="preserve">T</x:t>
        </x:is>
      </x:c>
      <x:c r="B103" s="45" t="inlineStr">
        <x:is>
          <x:t xml:space="preserve">'=T($B$8)</x:t>
        </x:is>
      </x:c>
      <x:c r="C103" s="46">
        <x:f>T($B$8)</x:f>
      </x:c>
      <x:c r="D103" s="45" t="inlineStr">
        <x:is>
          <x:t xml:space="preserve"/>
        </x:is>
      </x:c>
    </x:row>
    <x:row r="104">
      <x:c r="A104" s="45" t="inlineStr">
        <x:is>
          <x:t xml:space="preserve">TYPE</x:t>
        </x:is>
      </x:c>
      <x:c r="B104" s="45" t="inlineStr">
        <x:is>
          <x:t xml:space="preserve">'=TYPE($B$8)</x:t>
        </x:is>
      </x:c>
      <x:c r="C104" s="46">
        <x:f>TYPE($B$8)</x:f>
      </x:c>
      <x:c r="D104" s="45" t="inlineStr">
        <x:is>
          <x:t xml:space="preserve"/>
        </x:is>
      </x:c>
    </x:row>
    <x:row r="105">
      <x:c r="A105" s="45" t="inlineStr">
        <x:is>
          <x:t xml:space="preserve">CHOOSE</x:t>
        </x:is>
      </x:c>
      <x:c r="B105" s="45" t="inlineStr">
        <x:is>
          <x:t xml:space="preserve">'=CHOOSE($B$7,"One","Two","Three","Four","Five")</x:t>
        </x:is>
      </x:c>
      <x:c r="C105" s="46">
        <x:f>CHOOSE($B$7,"One","Two","Three","Four","Five")</x:f>
      </x:c>
      <x:c r="D105" s="45" t="inlineStr">
        <x:is>
          <x:t xml:space="preserve"/>
        </x:is>
      </x:c>
    </x:row>
    <x:row r="106">
      <x:c r="A106" s="45" t="inlineStr">
        <x:is>
          <x:t xml:space="preserve">NUMBERVALUE</x:t>
        </x:is>
      </x:c>
      <x:c r="B106" s="45" t="inlineStr">
        <x:is>
          <x:t xml:space="preserve">'=NUMBERVALUE("1,234.56")</x:t>
        </x:is>
      </x:c>
      <x:c r="C106" s="46">
        <x:f>NUMBERVALUE("1,234.56")</x:f>
      </x:c>
      <x:c r="D106" s="45" t="inlineStr">
        <x:is>
          <x:t xml:space="preserve"/>
        </x:is>
      </x:c>
    </x:row>
    <x:row r="107">
      <x:c r="A107" s="45" t="inlineStr">
        <x:is>
          <x:t xml:space="preserve">STDEV_S</x:t>
        </x:is>
      </x:c>
      <x:c r="B107" s="45" t="inlineStr">
        <x:is>
          <x:t xml:space="preserve">'=STDEV_S($E$3:$E$12)</x:t>
        </x:is>
      </x:c>
      <x:c r="C107" s="46" t="n"/>
      <x:c r="D107" s="45" t="inlineStr">
        <x:is>
          <x:t xml:space="preserve">Google Sheets uses STDEV.S (dot), not underscore.</x:t>
        </x:is>
      </x:c>
    </x:row>
    <x:row r="108">
      <x:c r="A108" s="45" t="inlineStr">
        <x:is>
          <x:t xml:space="preserve">VAR_S</x:t>
        </x:is>
      </x:c>
      <x:c r="B108" s="45" t="inlineStr">
        <x:is>
          <x:t xml:space="preserve">'=VAR_S($E$3:$E$12)</x:t>
        </x:is>
      </x:c>
      <x:c r="C108" s="46" t="n"/>
      <x:c r="D108" s="45" t="inlineStr">
        <x:is>
          <x:t xml:space="preserve">Google Sheets uses VAR.S (dot), not underscore.</x:t>
        </x:is>
      </x:c>
    </x:row>
    <x:row r="109">
      <x:c r="A109" s="45" t="inlineStr">
        <x:is>
          <x:t xml:space="preserve">STDEV_P</x:t>
        </x:is>
      </x:c>
      <x:c r="B109" s="45" t="inlineStr">
        <x:is>
          <x:t xml:space="preserve">'=STDEV_P($E$3:$E$12)</x:t>
        </x:is>
      </x:c>
      <x:c r="C109" s="46" t="n"/>
      <x:c r="D109" s="45" t="inlineStr">
        <x:is>
          <x:t xml:space="preserve">Google Sheets uses STDEV.P (dot), not underscore.</x:t>
        </x:is>
      </x:c>
    </x:row>
    <x:row r="110">
      <x:c r="A110" s="45" t="inlineStr">
        <x:is>
          <x:t xml:space="preserve">VAR_P</x:t>
        </x:is>
      </x:c>
      <x:c r="B110" s="45" t="inlineStr">
        <x:is>
          <x:t xml:space="preserve">'=VAR_P($E$3:$E$12)</x:t>
        </x:is>
      </x:c>
      <x:c r="C110" s="46" t="n"/>
      <x:c r="D110" s="45" t="inlineStr">
        <x:is>
          <x:t xml:space="preserve">Google Sheets uses VAR.P (dot), not underscore.</x:t>
        </x:is>
      </x:c>
    </x:row>
    <x:row r="111">
      <x:c r="A111" s="45" t="inlineStr">
        <x:is>
          <x:t xml:space="preserve">AVEDEV</x:t>
        </x:is>
      </x:c>
      <x:c r="B111" s="45" t="inlineStr">
        <x:is>
          <x:t xml:space="preserve">'=AVEDEV($E$3:$E$12)</x:t>
        </x:is>
      </x:c>
      <x:c r="C111" s="46">
        <x:f>AVEDEV($E$3:$E$12)</x:f>
      </x:c>
      <x:c r="D111" s="45" t="inlineStr">
        <x:is>
          <x:t xml:space="preserve"/>
        </x:is>
      </x:c>
    </x:row>
    <x:row r="112">
      <x:c r="A112" s="45" t="inlineStr">
        <x:is>
          <x:t xml:space="preserve">BASE</x:t>
        </x:is>
      </x:c>
      <x:c r="B112" s="45" t="inlineStr">
        <x:is>
          <x:t xml:space="preserve">'=BASE($B$15,16)</x:t>
        </x:is>
      </x:c>
      <x:c r="C112" s="46">
        <x:f>BASE($B$15,16)</x:f>
      </x:c>
      <x:c r="D112" s="45" t="inlineStr">
        <x:is>
          <x:t xml:space="preserve"/>
        </x:is>
      </x:c>
    </x:row>
    <x:row r="113">
      <x:c r="A113" s="45" t="inlineStr">
        <x:is>
          <x:t xml:space="preserve">DECIMAL</x:t>
        </x:is>
      </x:c>
      <x:c r="B113" s="45" t="inlineStr">
        <x:is>
          <x:t xml:space="preserve">'=DECIMAL("FF",16)</x:t>
        </x:is>
      </x:c>
      <x:c r="C113" s="46">
        <x:f>DECIMAL("FF",16)</x:f>
      </x:c>
      <x:c r="D113" s="45" t="inlineStr">
        <x:is>
          <x:t xml:space="preserve"/>
        </x:is>
      </x:c>
    </x:row>
    <x:row r="114">
      <x:c r="A114" s="45" t="inlineStr">
        <x:is>
          <x:t xml:space="preserve">FIXED</x:t>
        </x:is>
      </x:c>
      <x:c r="B114" s="45" t="inlineStr">
        <x:is>
          <x:t xml:space="preserve">'=FIXED($B$4,2,TRUE)</x:t>
        </x:is>
      </x:c>
      <x:c r="C114" s="46">
        <x:f>FIXED($B$4,2,TRUE)</x:f>
      </x:c>
      <x:c r="D114" s="45" t="inlineStr">
        <x:is>
          <x:t xml:space="preserve"/>
        </x:is>
      </x:c>
    </x:row>
    <x:row r="115">
      <x:c r="A115" s="45" t="inlineStr">
        <x:is>
          <x:t xml:space="preserve">WEEKNUM</x:t>
        </x:is>
      </x:c>
      <x:c r="B115" s="45" t="inlineStr">
        <x:is>
          <x:t xml:space="preserve">'=WEEKNUM($B$10,2)</x:t>
        </x:is>
      </x:c>
      <x:c r="C115" s="46">
        <x:f>WEEKNUM($B$10,2)</x:f>
      </x:c>
      <x:c r="D115" s="45" t="inlineStr">
        <x:is>
          <x:t xml:space="preserve"/>
        </x:is>
      </x:c>
    </x:row>
    <x:row r="116">
      <x:c r="A116" s="45" t="inlineStr">
        <x:is>
          <x:t xml:space="preserve">ISOWEEKNUM</x:t>
        </x:is>
      </x:c>
      <x:c r="B116" s="45" t="inlineStr">
        <x:is>
          <x:t xml:space="preserve">'=ISOWEEKNUM($B$10)</x:t>
        </x:is>
      </x:c>
      <x:c r="C116" s="46">
        <x:f>ISOWEEKNUM($B$10)</x:f>
      </x:c>
      <x:c r="D116" s="45" t="inlineStr">
        <x:is>
          <x:t xml:space="preserve"/>
        </x:is>
      </x:c>
    </x:row>
    <x:row r="117">
      <x:c r="A117" s="45" t="inlineStr">
        <x:is>
          <x:t xml:space="preserve">SIN</x:t>
        </x:is>
      </x:c>
      <x:c r="B117" s="45" t="inlineStr">
        <x:is>
          <x:t xml:space="preserve">'=SIN(RADIANS($B$16))</x:t>
        </x:is>
      </x:c>
      <x:c r="C117" s="46">
        <x:f>SIN(RADIANS($B$16))</x:f>
      </x:c>
      <x:c r="D117" s="45" t="inlineStr">
        <x:is>
          <x:t xml:space="preserve"/>
        </x:is>
      </x:c>
    </x:row>
    <x:row r="118">
      <x:c r="A118" s="45" t="inlineStr">
        <x:is>
          <x:t xml:space="preserve">COS</x:t>
        </x:is>
      </x:c>
      <x:c r="B118" s="45" t="inlineStr">
        <x:is>
          <x:t xml:space="preserve">'=COS(RADIANS($B$16))</x:t>
        </x:is>
      </x:c>
      <x:c r="C118" s="46">
        <x:f>COS(RADIANS($B$16))</x:f>
      </x:c>
      <x:c r="D118" s="45" t="inlineStr">
        <x:is>
          <x:t xml:space="preserve"/>
        </x:is>
      </x:c>
    </x:row>
    <x:row r="119">
      <x:c r="A119" s="45" t="inlineStr">
        <x:is>
          <x:t xml:space="preserve">TAN</x:t>
        </x:is>
      </x:c>
      <x:c r="B119" s="45" t="inlineStr">
        <x:is>
          <x:t xml:space="preserve">'=TAN(RADIANS($B$16))</x:t>
        </x:is>
      </x:c>
      <x:c r="C119" s="46">
        <x:f>TAN(RADIANS($B$16))</x:f>
      </x:c>
      <x:c r="D119" s="45" t="inlineStr">
        <x:is>
          <x:t xml:space="preserve"/>
        </x:is>
      </x:c>
    </x:row>
    <x:row r="120">
      <x:c r="A120" s="45" t="inlineStr">
        <x:is>
          <x:t xml:space="preserve">ASIN</x:t>
        </x:is>
      </x:c>
      <x:c r="B120" s="45" t="inlineStr">
        <x:is>
          <x:t xml:space="preserve">'=ASIN($B$5)</x:t>
        </x:is>
      </x:c>
      <x:c r="C120" s="46">
        <x:f>ASIN($B$5)</x:f>
      </x:c>
      <x:c r="D120" s="45" t="inlineStr">
        <x:is>
          <x:t xml:space="preserve"/>
        </x:is>
      </x:c>
    </x:row>
    <x:row r="121">
      <x:c r="A121" s="45" t="inlineStr">
        <x:is>
          <x:t xml:space="preserve">ACOS</x:t>
        </x:is>
      </x:c>
      <x:c r="B121" s="45" t="inlineStr">
        <x:is>
          <x:t xml:space="preserve">'=ACOS($B$5)</x:t>
        </x:is>
      </x:c>
      <x:c r="C121" s="46">
        <x:f>ACOS($B$5)</x:f>
      </x:c>
      <x:c r="D121" s="45" t="inlineStr">
        <x:is>
          <x:t xml:space="preserve"/>
        </x:is>
      </x:c>
    </x:row>
    <x:row r="122">
      <x:c r="A122" s="45" t="inlineStr">
        <x:is>
          <x:t xml:space="preserve">ATAN</x:t>
        </x:is>
      </x:c>
      <x:c r="B122" s="45" t="inlineStr">
        <x:is>
          <x:t xml:space="preserve">'=ATAN($B$5)</x:t>
        </x:is>
      </x:c>
      <x:c r="C122" s="46">
        <x:f>ATAN($B$5)</x:f>
      </x:c>
      <x:c r="D122" s="45" t="inlineStr">
        <x:is>
          <x:t xml:space="preserve"/>
        </x:is>
      </x:c>
    </x:row>
    <x:row r="123">
      <x:c r="A123" s="45" t="inlineStr">
        <x:is>
          <x:t xml:space="preserve">ATAN2</x:t>
        </x:is>
      </x:c>
      <x:c r="B123" s="45" t="inlineStr">
        <x:is>
          <x:t xml:space="preserve">'=ATAN2($B$4,$B$3)</x:t>
        </x:is>
      </x:c>
      <x:c r="C123" s="46">
        <x:f>ATAN2($B$4,$B$3)</x:f>
      </x:c>
      <x:c r="D123" s="45" t="inlineStr">
        <x:is>
          <x:t xml:space="preserve"/>
        </x:is>
      </x:c>
    </x:row>
    <x:row r="124">
      <x:c r="A124" s="45" t="inlineStr">
        <x:is>
          <x:t xml:space="preserve">SINH</x:t>
        </x:is>
      </x:c>
      <x:c r="B124" s="45" t="inlineStr">
        <x:is>
          <x:t xml:space="preserve">'=SINH($B$5)</x:t>
        </x:is>
      </x:c>
      <x:c r="C124" s="46">
        <x:f>SINH($B$5)</x:f>
      </x:c>
      <x:c r="D124" s="45" t="inlineStr">
        <x:is>
          <x:t xml:space="preserve"/>
        </x:is>
      </x:c>
    </x:row>
    <x:row r="125">
      <x:c r="A125" s="45" t="inlineStr">
        <x:is>
          <x:t xml:space="preserve">COSH</x:t>
        </x:is>
      </x:c>
      <x:c r="B125" s="45" t="inlineStr">
        <x:is>
          <x:t xml:space="preserve">'=COSH($B$5)</x:t>
        </x:is>
      </x:c>
      <x:c r="C125" s="46">
        <x:f>COSH($B$5)</x:f>
      </x:c>
      <x:c r="D125" s="45" t="inlineStr">
        <x:is>
          <x:t xml:space="preserve"/>
        </x:is>
      </x:c>
    </x:row>
    <x:row r="126">
      <x:c r="A126" s="45" t="inlineStr">
        <x:is>
          <x:t xml:space="preserve">TANH</x:t>
        </x:is>
      </x:c>
      <x:c r="B126" s="45" t="inlineStr">
        <x:is>
          <x:t xml:space="preserve">'=TANH($B$5)</x:t>
        </x:is>
      </x:c>
      <x:c r="C126" s="46">
        <x:f>TANH($B$5)</x:f>
      </x:c>
      <x:c r="D126" s="45" t="inlineStr">
        <x:is>
          <x:t xml:space="preserve"/>
        </x:is>
      </x:c>
    </x:row>
    <x:row r="127">
      <x:c r="A127" s="45" t="inlineStr">
        <x:is>
          <x:t xml:space="preserve">ASINH</x:t>
        </x:is>
      </x:c>
      <x:c r="B127" s="45" t="inlineStr">
        <x:is>
          <x:t xml:space="preserve">'=ASINH($B$4)</x:t>
        </x:is>
      </x:c>
      <x:c r="C127" s="46">
        <x:f>ASINH($B$4)</x:f>
      </x:c>
      <x:c r="D127" s="45" t="inlineStr">
        <x:is>
          <x:t xml:space="preserve"/>
        </x:is>
      </x:c>
    </x:row>
    <x:row r="128">
      <x:c r="A128" s="45" t="inlineStr">
        <x:is>
          <x:t xml:space="preserve">ACOSH</x:t>
        </x:is>
      </x:c>
      <x:c r="B128" s="45" t="inlineStr">
        <x:is>
          <x:t xml:space="preserve">'=ACOSH($B$4)</x:t>
        </x:is>
      </x:c>
      <x:c r="C128" s="46">
        <x:f>ACOSH($B$4)</x:f>
      </x:c>
      <x:c r="D128" s="45" t="inlineStr">
        <x:is>
          <x:t xml:space="preserve"/>
        </x:is>
      </x:c>
    </x:row>
    <x:row r="129">
      <x:c r="A129" s="45" t="inlineStr">
        <x:is>
          <x:t xml:space="preserve">ATANH</x:t>
        </x:is>
      </x:c>
      <x:c r="B129" s="45" t="inlineStr">
        <x:is>
          <x:t xml:space="preserve">'=ATANH($B$5)</x:t>
        </x:is>
      </x:c>
      <x:c r="C129" s="46">
        <x:f>ATANH($B$5)</x:f>
      </x:c>
      <x:c r="D129" s="45" t="inlineStr">
        <x:is>
          <x:t xml:space="preserve"/>
        </x:is>
      </x:c>
    </x:row>
    <x:row r="130">
      <x:c r="A130" s="45" t="inlineStr">
        <x:is>
          <x:t xml:space="preserve">ACOT</x:t>
        </x:is>
      </x:c>
      <x:c r="B130" s="45" t="inlineStr">
        <x:is>
          <x:t xml:space="preserve">'=ACOT($B$5)</x:t>
        </x:is>
      </x:c>
      <x:c r="C130" s="46">
        <x:f>ACOT($B$5)</x:f>
      </x:c>
      <x:c r="D130" s="45" t="inlineStr">
        <x:is>
          <x:t xml:space="preserve"/>
        </x:is>
      </x:c>
    </x:row>
    <x:row r="131">
      <x:c r="A131" s="45" t="inlineStr">
        <x:is>
          <x:t xml:space="preserve">ACOTH</x:t>
        </x:is>
      </x:c>
      <x:c r="B131" s="45" t="inlineStr">
        <x:is>
          <x:t xml:space="preserve">'=ACOTH($B$4)</x:t>
        </x:is>
      </x:c>
      <x:c r="C131" s="46">
        <x:f>ACOTH($B$4)</x:f>
      </x:c>
      <x:c r="D131" s="45" t="inlineStr">
        <x:is>
          <x:t xml:space="preserve"/>
        </x:is>
      </x:c>
    </x:row>
    <x:row r="132">
      <x:c r="A132" s="45" t="inlineStr">
        <x:is>
          <x:t xml:space="preserve">COT</x:t>
        </x:is>
      </x:c>
      <x:c r="B132" s="45" t="inlineStr">
        <x:is>
          <x:t xml:space="preserve">'=COT(RADIANS($B$16))</x:t>
        </x:is>
      </x:c>
      <x:c r="C132" s="46">
        <x:f>COT(RADIANS($B$16))</x:f>
      </x:c>
      <x:c r="D132" s="45" t="inlineStr">
        <x:is>
          <x:t xml:space="preserve"/>
        </x:is>
      </x:c>
    </x:row>
    <x:row r="133">
      <x:c r="A133" s="45" t="inlineStr">
        <x:is>
          <x:t xml:space="preserve">CSC</x:t>
        </x:is>
      </x:c>
      <x:c r="B133" s="45" t="inlineStr">
        <x:is>
          <x:t xml:space="preserve">'=CSC(RADIANS($B$16))</x:t>
        </x:is>
      </x:c>
      <x:c r="C133" s="46">
        <x:f>CSC(RADIANS($B$16))</x:f>
      </x:c>
      <x:c r="D133" s="45" t="inlineStr">
        <x:is>
          <x:t xml:space="preserve"/>
        </x:is>
      </x:c>
    </x:row>
    <x:row r="134">
      <x:c r="A134" s="45" t="inlineStr">
        <x:is>
          <x:t xml:space="preserve">CSCH</x:t>
        </x:is>
      </x:c>
      <x:c r="B134" s="45" t="inlineStr">
        <x:is>
          <x:t xml:space="preserve">'=CSCH($B$5)</x:t>
        </x:is>
      </x:c>
      <x:c r="C134" s="46">
        <x:f>CSCH($B$5)</x:f>
      </x:c>
      <x:c r="D134" s="45" t="inlineStr">
        <x:is>
          <x:t xml:space="preserve"/>
        </x:is>
      </x:c>
    </x:row>
    <x:row r="135">
      <x:c r="A135" s="45" t="inlineStr">
        <x:is>
          <x:t xml:space="preserve">SEC</x:t>
        </x:is>
      </x:c>
      <x:c r="B135" s="45" t="inlineStr">
        <x:is>
          <x:t xml:space="preserve">'=SEC(RADIANS($B$16))</x:t>
        </x:is>
      </x:c>
      <x:c r="C135" s="46">
        <x:f>SEC(RADIANS($B$16))</x:f>
      </x:c>
      <x:c r="D135" s="45" t="inlineStr">
        <x:is>
          <x:t xml:space="preserve"/>
        </x:is>
      </x:c>
    </x:row>
    <x:row r="136">
      <x:c r="A136" s="45" t="inlineStr">
        <x:is>
          <x:t xml:space="preserve">SECH</x:t>
        </x:is>
      </x:c>
      <x:c r="B136" s="45" t="inlineStr">
        <x:is>
          <x:t xml:space="preserve">'=SECH($B$5)</x:t>
        </x:is>
      </x:c>
      <x:c r="C136" s="46">
        <x:f>SECH($B$5)</x:f>
      </x:c>
      <x:c r="D136" s="45" t="inlineStr">
        <x:is>
          <x:t xml:space="preserve"/>
        </x:is>
      </x:c>
    </x:row>
    <x:row r="137">
      <x:c r="A137" s="45" t="inlineStr">
        <x:is>
          <x:t xml:space="preserve">RADIANS</x:t>
        </x:is>
      </x:c>
      <x:c r="B137" s="45" t="inlineStr">
        <x:is>
          <x:t xml:space="preserve">'=RADIANS($B$16)</x:t>
        </x:is>
      </x:c>
      <x:c r="C137" s="46">
        <x:f>RADIANS($B$16)</x:f>
      </x:c>
      <x:c r="D137" s="45" t="inlineStr">
        <x:is>
          <x:t xml:space="preserve"/>
        </x:is>
      </x:c>
    </x:row>
    <x:row r="138">
      <x:c r="A138" s="45" t="inlineStr">
        <x:is>
          <x:t xml:space="preserve">DEGREES</x:t>
        </x:is>
      </x:c>
      <x:c r="B138" s="45" t="inlineStr">
        <x:is>
          <x:t xml:space="preserve">'=DEGREES(RADIANS($B$16))</x:t>
        </x:is>
      </x:c>
      <x:c r="C138" s="46">
        <x:f>DEGREES(RADIANS($B$16))</x:f>
      </x:c>
      <x:c r="D138" s="45" t="inlineStr">
        <x:is>
          <x:t xml:space="preserve"/>
        </x:is>
      </x:c>
    </x:row>
    <x:row r="139">
      <x:c r="A139" s="45" t="inlineStr">
        <x:is>
          <x:t xml:space="preserve">RANDBETWEEN</x:t>
        </x:is>
      </x:c>
      <x:c r="B139" s="45" t="inlineStr">
        <x:is>
          <x:t xml:space="preserve">'=RANDBETWEEN(1,100)</x:t>
        </x:is>
      </x:c>
      <x:c r="C139" s="46">
        <x:f>RANDBETWEEN(1,100)</x:f>
      </x:c>
      <x:c r="D139" s="45" t="inlineStr">
        <x:is>
          <x:t xml:space="preserve"/>
        </x:is>
      </x:c>
    </x:row>
    <x:row r="140">
      <x:c r="A140" s="45" t="inlineStr">
        <x:is>
          <x:t xml:space="preserve">DATE</x:t>
        </x:is>
      </x:c>
      <x:c r="B140" s="45" t="inlineStr">
        <x:is>
          <x:t xml:space="preserve">'=DATE(2025,12,31)</x:t>
        </x:is>
      </x:c>
      <x:c r="C140" s="46">
        <x:f>DATE(2025,12,31)</x:f>
      </x:c>
      <x:c r="D140" s="45" t="inlineStr">
        <x:is>
          <x:t xml:space="preserve"/>
        </x:is>
      </x:c>
    </x:row>
    <x:row r="141">
      <x:c r="A141" s="45" t="inlineStr">
        <x:is>
          <x:t xml:space="preserve">DAY</x:t>
        </x:is>
      </x:c>
      <x:c r="B141" s="45" t="inlineStr">
        <x:is>
          <x:t xml:space="preserve">'=DAY($B$10)</x:t>
        </x:is>
      </x:c>
      <x:c r="C141" s="46">
        <x:f>DAY($B$10)</x:f>
      </x:c>
      <x:c r="D141" s="45" t="inlineStr">
        <x:is>
          <x:t xml:space="preserve"/>
        </x:is>
      </x:c>
    </x:row>
    <x:row r="142">
      <x:c r="A142" s="45" t="inlineStr">
        <x:is>
          <x:t xml:space="preserve">MONTH</x:t>
        </x:is>
      </x:c>
      <x:c r="B142" s="45" t="inlineStr">
        <x:is>
          <x:t xml:space="preserve">'=MONTH($B$10)</x:t>
        </x:is>
      </x:c>
      <x:c r="C142" s="46">
        <x:f>MONTH($B$10)</x:f>
      </x:c>
      <x:c r="D142" s="45" t="inlineStr">
        <x:is>
          <x:t xml:space="preserve"/>
        </x:is>
      </x:c>
    </x:row>
    <x:row r="143">
      <x:c r="A143" s="45" t="inlineStr">
        <x:is>
          <x:t xml:space="preserve">YEAR</x:t>
        </x:is>
      </x:c>
      <x:c r="B143" s="45" t="inlineStr">
        <x:is>
          <x:t xml:space="preserve">'=YEAR($B$10)</x:t>
        </x:is>
      </x:c>
      <x:c r="C143" s="46">
        <x:f>YEAR($B$10)</x:f>
      </x:c>
      <x:c r="D143" s="45" t="inlineStr">
        <x:is>
          <x:t xml:space="preserve"/>
        </x:is>
      </x:c>
    </x:row>
    <x:row r="144">
      <x:c r="A144" s="45" t="inlineStr">
        <x:is>
          <x:t xml:space="preserve">DAYS</x:t>
        </x:is>
      </x:c>
      <x:c r="B144" s="45" t="inlineStr">
        <x:is>
          <x:t xml:space="preserve">'=DAYS($B$11,$B$10)</x:t>
        </x:is>
      </x:c>
      <x:c r="C144" s="46">
        <x:f>DAYS($B$11,$B$10)</x:f>
      </x:c>
      <x:c r="D144" s="45" t="inlineStr">
        <x:is>
          <x:t xml:space="preserve"/>
        </x:is>
      </x:c>
    </x:row>
    <x:row r="145">
      <x:c r="A145" s="45" t="inlineStr">
        <x:is>
          <x:t xml:space="preserve">EDATE</x:t>
        </x:is>
      </x:c>
      <x:c r="B145" s="45" t="inlineStr">
        <x:is>
          <x:t xml:space="preserve">'=EDATE($B$10,2)</x:t>
        </x:is>
      </x:c>
      <x:c r="C145" s="46">
        <x:f>EDATE($B$10,2)</x:f>
      </x:c>
      <x:c r="D145" s="45" t="inlineStr">
        <x:is>
          <x:t xml:space="preserve"/>
        </x:is>
      </x:c>
    </x:row>
    <x:row r="146">
      <x:c r="A146" s="45" t="inlineStr">
        <x:is>
          <x:t xml:space="preserve">EOMONTH</x:t>
        </x:is>
      </x:c>
      <x:c r="B146" s="45" t="inlineStr">
        <x:is>
          <x:t xml:space="preserve">'=EOMONTH($B$10,0)</x:t>
        </x:is>
      </x:c>
      <x:c r="C146" s="46">
        <x:f>EOMONTH($B$10,0)</x:f>
      </x:c>
      <x:c r="D146" s="45" t="inlineStr">
        <x:is>
          <x:t xml:space="preserve"/>
        </x:is>
      </x:c>
    </x:row>
    <x:row r="147">
      <x:c r="A147" s="45" t="inlineStr">
        <x:is>
          <x:t xml:space="preserve">HOUR</x:t>
        </x:is>
      </x:c>
      <x:c r="B147" s="45" t="inlineStr">
        <x:is>
          <x:t xml:space="preserve">'=HOUR($B$12)</x:t>
        </x:is>
      </x:c>
      <x:c r="C147" s="46">
        <x:f>HOUR($B$12)</x:f>
      </x:c>
      <x:c r="D147" s="45" t="inlineStr">
        <x:is>
          <x:t xml:space="preserve"/>
        </x:is>
      </x:c>
    </x:row>
    <x:row r="148">
      <x:c r="A148" s="45" t="inlineStr">
        <x:is>
          <x:t xml:space="preserve">MINUTE</x:t>
        </x:is>
      </x:c>
      <x:c r="B148" s="45" t="inlineStr">
        <x:is>
          <x:t xml:space="preserve">'=MINUTE($B$12)</x:t>
        </x:is>
      </x:c>
      <x:c r="C148" s="46">
        <x:f>MINUTE($B$12)</x:f>
      </x:c>
      <x:c r="D148" s="45" t="inlineStr">
        <x:is>
          <x:t xml:space="preserve"/>
        </x:is>
      </x:c>
    </x:row>
    <x:row r="149">
      <x:c r="A149" s="45" t="inlineStr">
        <x:is>
          <x:t xml:space="preserve">SECOND</x:t>
        </x:is>
      </x:c>
      <x:c r="B149" s="45" t="inlineStr">
        <x:is>
          <x:t xml:space="preserve">'=SECOND($B$12)</x:t>
        </x:is>
      </x:c>
      <x:c r="C149" s="46">
        <x:f>SECOND($B$12)</x:f>
      </x:c>
      <x:c r="D149" s="45" t="inlineStr">
        <x:is>
          <x:t xml:space="preserve"/>
        </x:is>
      </x:c>
    </x:row>
    <x:row r="150">
      <x:c r="A150" s="45" t="inlineStr">
        <x:is>
          <x:t xml:space="preserve">TIME</x:t>
        </x:is>
      </x:c>
      <x:c r="B150" s="45" t="inlineStr">
        <x:is>
          <x:t xml:space="preserve">'=TIME(8,15,0)</x:t>
        </x:is>
      </x:c>
      <x:c r="C150" s="46">
        <x:f>TIME(8,15,0)</x:f>
      </x:c>
      <x:c r="D150" s="45" t="inlineStr">
        <x:is>
          <x:t xml:space="preserve"/>
        </x:is>
      </x:c>
    </x:row>
    <x:row r="151">
      <x:c r="A151" s="45" t="inlineStr">
        <x:is>
          <x:t xml:space="preserve">WEEKDAY</x:t>
        </x:is>
      </x:c>
      <x:c r="B151" s="45" t="inlineStr">
        <x:is>
          <x:t xml:space="preserve">'=WEEKDAY($B$10,2)</x:t>
        </x:is>
      </x:c>
      <x:c r="C151" s="46">
        <x:f>WEEKDAY($B$10,2)</x:f>
      </x:c>
      <x:c r="D151" s="45" t="inlineStr">
        <x:is>
          <x:t xml:space="preserve"/>
        </x:is>
      </x:c>
    </x:row>
    <x:row r="152">
      <x:c r="A152" s="45" t="inlineStr">
        <x:is>
          <x:t xml:space="preserve">MEDIAN</x:t>
        </x:is>
      </x:c>
      <x:c r="B152" s="45" t="inlineStr">
        <x:is>
          <x:t xml:space="preserve">'=MEDIAN($E$3:$E$12)</x:t>
        </x:is>
      </x:c>
      <x:c r="C152" s="46">
        <x:f>MEDIAN($E$3:$E$12)</x:f>
      </x:c>
      <x:c r="D152" s="45" t="inlineStr">
        <x:is>
          <x:t xml:space="preserve"/>
        </x:is>
      </x:c>
    </x:row>
    <x:row r="153">
      <x:c r="A153" s="45" t="inlineStr">
        <x:is>
          <x:t xml:space="preserve">LARGE</x:t>
        </x:is>
      </x:c>
      <x:c r="B153" s="45" t="inlineStr">
        <x:is>
          <x:t xml:space="preserve">'=LARGE($E$3:$E$12,2)</x:t>
        </x:is>
      </x:c>
      <x:c r="C153" s="46">
        <x:f>LARGE($E$3:$E$12,2)</x:f>
      </x:c>
      <x:c r="D153" s="45" t="inlineStr">
        <x:is>
          <x:t xml:space="preserve"/>
        </x:is>
      </x:c>
    </x:row>
    <x:row r="154">
      <x:c r="A154" s="45" t="inlineStr">
        <x:is>
          <x:t xml:space="preserve">SMALL</x:t>
        </x:is>
      </x:c>
      <x:c r="B154" s="45" t="inlineStr">
        <x:is>
          <x:t xml:space="preserve">'=SMALL($E$3:$E$12,2)</x:t>
        </x:is>
      </x:c>
      <x:c r="C154" s="46">
        <x:f>SMALL($E$3:$E$12,2)</x:f>
      </x:c>
      <x:c r="D154" s="45" t="inlineStr">
        <x:is>
          <x:t xml:space="preserve"/>
        </x:is>
      </x:c>
    </x:row>
    <x:row r="155">
      <x:c r="A155" s="45" t="inlineStr">
        <x:is>
          <x:t xml:space="preserve">COUNTBLANK</x:t>
        </x:is>
      </x:c>
      <x:c r="B155" s="45" t="inlineStr">
        <x:is>
          <x:t xml:space="preserve">'=COUNTBLANK($B$3:$B$14)</x:t>
        </x:is>
      </x:c>
      <x:c r="C155" s="46">
        <x:f>COUNTBLANK($B$3:$B$14)</x:f>
      </x:c>
      <x:c r="D155" s="45" t="inlineStr">
        <x:is>
          <x:t xml:space="preserve"/>
        </x:is>
      </x:c>
    </x:row>
    <x:row r="156">
      <x:c r="A156" s="45" t="inlineStr">
        <x:is>
          <x:t xml:space="preserve">SUMPRODUCT</x:t>
        </x:is>
      </x:c>
      <x:c r="B156" s="45" t="inlineStr">
        <x:is>
          <x:t xml:space="preserve">'=SUMPRODUCT($E$3:$E$12,$E$3:$E$12)</x:t>
        </x:is>
      </x:c>
      <x:c r="C156" s="46">
        <x:f>SUMPRODUCT($E$3:$E$12,$E$3:$E$12)</x:f>
      </x:c>
      <x:c r="D156" s="45" t="inlineStr">
        <x:is>
          <x:t xml:space="preserve"/>
        </x:is>
      </x:c>
    </x:row>
    <x:row r="157">
      <x:c r="A157" s="45" t="inlineStr">
        <x:is>
          <x:t xml:space="preserve">MODE_SNGL</x:t>
        </x:is>
      </x:c>
      <x:c r="B157" s="45" t="inlineStr">
        <x:is>
          <x:t xml:space="preserve">'=MODE_SNGL($E$3:$E$12)</x:t>
        </x:is>
      </x:c>
      <x:c r="C157" s="46" t="n"/>
      <x:c r="D157" s="45" t="inlineStr">
        <x:is>
          <x:t xml:space="preserve">Google Sheets/Excel uses MODE.SNGL (dot), not underscore.</x:t>
        </x:is>
      </x:c>
    </x:row>
    <x:row r="158">
      <x:c r="A158" s="45" t="inlineStr">
        <x:is>
          <x:t xml:space="preserve">AVERAGEA</x:t>
        </x:is>
      </x:c>
      <x:c r="B158" s="45" t="inlineStr">
        <x:is>
          <x:t xml:space="preserve">'=AVERAGEA($E$3:$E$12)</x:t>
        </x:is>
      </x:c>
      <x:c r="C158" s="46">
        <x:f>AVERAGEA($E$3:$E$12)</x:f>
      </x:c>
      <x:c r="D158" s="45" t="inlineStr">
        <x:is>
          <x:t xml:space="preserve"/>
        </x:is>
      </x:c>
    </x:row>
    <x:row r="159">
      <x:c r="A159" s="45" t="inlineStr">
        <x:is>
          <x:t xml:space="preserve">MAXA</x:t>
        </x:is>
      </x:c>
      <x:c r="B159" s="45" t="inlineStr">
        <x:is>
          <x:t xml:space="preserve">'=MAXA($E$3:$E$12)</x:t>
        </x:is>
      </x:c>
      <x:c r="C159" s="46">
        <x:f>MAXA($E$3:$E$12)</x:f>
      </x:c>
      <x:c r="D159" s="45" t="inlineStr">
        <x:is>
          <x:t xml:space="preserve"/>
        </x:is>
      </x:c>
    </x:row>
    <x:row r="160">
      <x:c r="A160" s="45" t="inlineStr">
        <x:is>
          <x:t xml:space="preserve">MINA</x:t>
        </x:is>
      </x:c>
      <x:c r="B160" s="45" t="inlineStr">
        <x:is>
          <x:t xml:space="preserve">'=MINA($E$3:$E$12)</x:t>
        </x:is>
      </x:c>
      <x:c r="C160" s="46">
        <x:f>MINA($E$3:$E$12)</x:f>
      </x:c>
      <x:c r="D160" s="45" t="inlineStr">
        <x:is>
          <x:t xml:space="preserve"/>
        </x:is>
      </x:c>
    </x:row>
    <x:row r="161">
      <x:c r="A161" s="45" t="inlineStr">
        <x:is>
          <x:t xml:space="preserve">RANK_EQ</x:t>
        </x:is>
      </x:c>
      <x:c r="B161" s="45" t="inlineStr">
        <x:is>
          <x:t xml:space="preserve">'=RANK_EQ($E$3,$E$3:$E$12,0)</x:t>
        </x:is>
      </x:c>
      <x:c r="C161" s="46" t="n"/>
      <x:c r="D161" s="45" t="inlineStr">
        <x:is>
          <x:t xml:space="preserve">Google Sheets/Excel uses RANK.EQ (dot), not underscore.</x:t>
        </x:is>
      </x:c>
    </x:row>
    <x:row r="162">
      <x:c r="A162" s="45" t="inlineStr">
        <x:is>
          <x:t xml:space="preserve">PERCENTILE_INC</x:t>
        </x:is>
      </x:c>
      <x:c r="B162" s="45" t="inlineStr">
        <x:is>
          <x:t xml:space="preserve">'=PERCENTILE_INC($E$3:$E$12,0.9)</x:t>
        </x:is>
      </x:c>
      <x:c r="C162" s="46" t="n"/>
      <x:c r="D162" s="45" t="inlineStr">
        <x:is>
          <x:t xml:space="preserve">Google Sheets/Excel uses PERCENTILE.INC (dot), not underscore.</x:t>
        </x:is>
      </x:c>
    </x:row>
    <x:row r="163">
      <x:c r="A163" s="45" t="inlineStr">
        <x:is>
          <x:t xml:space="preserve">QUARTILE_INC</x:t>
        </x:is>
      </x:c>
      <x:c r="B163" s="45" t="inlineStr">
        <x:is>
          <x:t xml:space="preserve">'=QUARTILE_INC($E$3:$E$12,1)</x:t>
        </x:is>
      </x:c>
      <x:c r="C163" s="46" t="n"/>
      <x:c r="D163" s="45" t="inlineStr">
        <x:is>
          <x:t xml:space="preserve">Google Sheets/Excel uses QUARTILE.INC (dot), not underscore.</x:t>
        </x:is>
      </x:c>
    </x:row>
    <x:row r="164">
      <x:c r="A164" s="45" t="inlineStr">
        <x:is>
          <x:t xml:space="preserve">PI</x:t>
        </x:is>
      </x:c>
      <x:c r="B164" s="45" t="inlineStr">
        <x:is>
          <x:t xml:space="preserve">'=PI()</x:t>
        </x:is>
      </x:c>
      <x:c r="C164" s="46">
        <x:f>PI()</x:f>
      </x:c>
      <x:c r="D164" s="45" t="inlineStr">
        <x:is>
          <x:t xml:space="preserve"/>
        </x:is>
      </x:c>
    </x:row>
    <x:row r="165">
      <x:c r="A165" s="45" t="inlineStr">
        <x:is>
          <x:t xml:space="preserve">RAND</x:t>
        </x:is>
      </x:c>
      <x:c r="B165" s="45" t="inlineStr">
        <x:is>
          <x:t xml:space="preserve">'=RAND()</x:t>
        </x:is>
      </x:c>
      <x:c r="C165" s="46">
        <x:f>RAND()</x:f>
      </x:c>
      <x:c r="D165" s="45" t="inlineStr">
        <x:is>
          <x:t xml:space="preserve"/>
        </x:is>
      </x:c>
    </x:row>
    <x:row r="166">
      <x:c r="A166" s="45" t="inlineStr">
        <x:is>
          <x:t xml:space="preserve">TODAY</x:t>
        </x:is>
      </x:c>
      <x:c r="B166" s="45" t="inlineStr">
        <x:is>
          <x:t xml:space="preserve">'=TODAY()</x:t>
        </x:is>
      </x:c>
      <x:c r="C166" s="46">
        <x:f>TODAY()</x:f>
      </x:c>
      <x:c r="D166" s="45" t="inlineStr">
        <x:is>
          <x:t xml:space="preserve"/>
        </x:is>
      </x:c>
    </x:row>
    <x:row r="167">
      <x:c r="A167" s="45" t="inlineStr">
        <x:is>
          <x:t xml:space="preserve">NOW</x:t>
        </x:is>
      </x:c>
      <x:c r="B167" s="45" t="inlineStr">
        <x:is>
          <x:t xml:space="preserve">'=NOW()</x:t>
        </x:is>
      </x:c>
      <x:c r="C167" s="46">
        <x:f>NOW()</x:f>
      </x:c>
      <x:c r="D167" s="45" t="inlineStr">
        <x:is>
          <x:t xml:space="preserve"/>
        </x:is>
      </x:c>
    </x:row>
    <x:row r="168">
      <x:c r="A168" s="45" t="inlineStr">
        <x:is>
          <x:t xml:space="preserve">NA</x:t>
        </x:is>
      </x:c>
      <x:c r="B168" s="45" t="inlineStr">
        <x:is>
          <x:t xml:space="preserve">'=NA()</x:t>
        </x:is>
      </x:c>
      <x:c r="C168" s="46">
        <x:f>NA()</x:f>
      </x:c>
      <x:c r="D168" s="45" t="inlineStr">
        <x:is>
          <x:t xml:space="preserve">Produces #N/A; wrap with IFNA/ISNA as shown in other rows.</x:t>
        </x:is>
      </x:c>
    </x:row>
    <x:row r="169">
      <x:c r="A169" s="45" t="inlineStr">
        <x:is>
          <x:t xml:space="preserve">UNIQUE</x:t>
        </x:is>
      </x:c>
      <x:c r="B169" s="45" t="inlineStr">
        <x:is>
          <x:t xml:space="preserve">'=INDEX(UNIQUE($F$3:$F$12),1)</x:t>
        </x:is>
      </x:c>
      <x:c r="C169" s="46">
        <x:f>INDEX(UNIQUE($F$3:$F$12),1)</x:f>
      </x:c>
      <x:c r="D169" s="45" t="inlineStr">
        <x:is>
          <x:t xml:space="preserve"/>
        </x:is>
      </x:c>
    </x:row>
    <x:row r="170">
      <x:c r="A170" s="45" t="inlineStr">
        <x:is>
          <x:t xml:space="preserve">ROWS</x:t>
        </x:is>
      </x:c>
      <x:c r="B170" s="45" t="inlineStr">
        <x:is>
          <x:t xml:space="preserve">'=ROWS($E$3:$E$12)</x:t>
        </x:is>
      </x:c>
      <x:c r="C170" s="46">
        <x:f>ROWS($E$3:$E$12)</x:f>
      </x:c>
      <x:c r="D170" s="45" t="inlineStr">
        <x:is>
          <x:t xml:space="preserve"/>
        </x:is>
      </x:c>
    </x:row>
    <x:row r="171">
      <x:c r="A171" s="45" t="inlineStr">
        <x:is>
          <x:t xml:space="preserve">PERCENTILE</x:t>
        </x:is>
      </x:c>
      <x:c r="B171" s="45" t="inlineStr">
        <x:is>
          <x:t xml:space="preserve">'=PERCENTILE($E$3:$E$12,0.9)</x:t>
        </x:is>
      </x:c>
      <x:c r="C171" s="46" t="n"/>
      <x:c r="D171" s="45" t="inlineStr">
        <x:is>
          <x:t xml:space="preserve">Use PERCENTILE.INC(range,k) in Google Sheets/Excel.</x:t>
        </x:is>
      </x:c>
    </x:row>
    <x:row r="172">
      <x:c r="A172" s="45" t="inlineStr">
        <x:is>
          <x:t xml:space="preserve">COUNTIF</x:t>
        </x:is>
      </x:c>
      <x:c r="B172" s="45" t="inlineStr">
        <x:is>
          <x:t xml:space="preserve">'=COUNTIF($E$3:$E$12,"&gt;5")</x:t>
        </x:is>
      </x:c>
      <x:c r="C172" s="46">
        <x:f>COUNTIF($E$3:$E$12,"&gt;5")</x:f>
      </x:c>
      <x:c r="D172" s="45" t="inlineStr">
        <x:is>
          <x:t xml:space="preserve"/>
        </x:is>
      </x:c>
    </x:row>
    <x:row r="173">
      <x:c r="A173" s="45" t="inlineStr">
        <x:is>
          <x:t xml:space="preserve">SUMIF</x:t>
        </x:is>
      </x:c>
      <x:c r="B173" s="45" t="inlineStr">
        <x:is>
          <x:t xml:space="preserve">'=SUMIF($E$3:$E$12,"&gt;5")</x:t>
        </x:is>
      </x:c>
      <x:c r="C173" s="46">
        <x:f>SUMIF($E$3:$E$12,"&gt;5")</x:f>
      </x:c>
      <x:c r="D173" s="45" t="inlineStr">
        <x:is>
          <x:t xml:space="preserve"/>
        </x:is>
      </x:c>
    </x:row>
    <x:row r="174">
      <x:c r="A174" s="45" t="inlineStr">
        <x:is>
          <x:t xml:space="preserve">AVERAGEIF</x:t>
        </x:is>
      </x:c>
      <x:c r="B174" s="45" t="inlineStr">
        <x:is>
          <x:t xml:space="preserve">'=AVERAGEIF($E$3:$E$12,"&gt;5")</x:t>
        </x:is>
      </x:c>
      <x:c r="C174" s="46">
        <x:f>AVERAGEIF($E$3:$E$12,"&gt;5")</x:f>
      </x:c>
      <x:c r="D174" s="45" t="inlineStr">
        <x:is>
          <x:t xml:space="preserve"/>
        </x:is>
      </x:c>
    </x:row>
    <x:row r="175">
      <x:c r="A175" s="45" t="inlineStr">
        <x:is>
          <x:t xml:space="preserve">COUNTIFS</x:t>
        </x:is>
      </x:c>
      <x:c r="B175" s="45" t="inlineStr">
        <x:is>
          <x:t xml:space="preserve">'=COUNTIFS($E$3:$E$12,"&gt;5",$E$3:$E$12,"&lt;10")</x:t>
        </x:is>
      </x:c>
      <x:c r="C175" s="46">
        <x:f>COUNTIFS($E$3:$E$12,"&gt;5",$E$3:$E$12,"&lt;10")</x:f>
      </x:c>
      <x:c r="D175" s="45" t="inlineStr">
        <x:is>
          <x:t xml:space="preserve"/>
        </x:is>
      </x:c>
    </x:row>
    <x:row r="176">
      <x:c r="A176" s="45" t="inlineStr">
        <x:is>
          <x:t xml:space="preserve">SUMIFS</x:t>
        </x:is>
      </x:c>
      <x:c r="B176" s="45" t="inlineStr">
        <x:is>
          <x:t xml:space="preserve">'=SUMIFS($E$3:$E$12,$E$3:$E$12,"&gt;5",$E$3:$E$12,"&lt;10")</x:t>
        </x:is>
      </x:c>
      <x:c r="C176" s="46">
        <x:f>SUMIFS($E$3:$E$12,$E$3:$E$12,"&gt;5",$E$3:$E$12,"&lt;10")</x:f>
      </x:c>
      <x:c r="D176" s="45" t="inlineStr">
        <x:is>
          <x:t xml:space="preserve"/>
        </x:is>
      </x:c>
    </x:row>
    <x:row r="177">
      <x:c r="A177" s="45" t="inlineStr">
        <x:is>
          <x:t xml:space="preserve">AVERAGEIFS</x:t>
        </x:is>
      </x:c>
      <x:c r="B177" s="45" t="inlineStr">
        <x:is>
          <x:t xml:space="preserve">'=AVERAGEIFS($E$3:$E$12,$E$3:$E$12,"&gt;5",$E$3:$E$12,"&lt;10")</x:t>
        </x:is>
      </x:c>
      <x:c r="C177" s="46">
        <x:f>AVERAGEIFS($E$3:$E$12,$E$3:$E$12,"&gt;5",$E$3:$E$12,"&lt;10")</x:f>
      </x:c>
      <x:c r="D177" s="45" t="inlineStr">
        <x:is>
          <x:t xml:space="preserve"/>
        </x:is>
      </x:c>
    </x:row>
    <x:row r="178">
      <x:c r="A178" s="45" t="inlineStr">
        <x:is>
          <x:t xml:space="preserve">MINIFS</x:t>
        </x:is>
      </x:c>
      <x:c r="B178" s="45" t="inlineStr">
        <x:is>
          <x:t xml:space="preserve">'=MINIFS($E$3:$E$12,$E$3:$E$12,"&gt;5")</x:t>
        </x:is>
      </x:c>
      <x:c r="C178" s="46">
        <x:f>MINIFS($E$3:$E$12,$E$3:$E$12,"&gt;5")</x:f>
      </x:c>
      <x:c r="D178" s="45" t="inlineStr">
        <x:is>
          <x:t xml:space="preserve"/>
        </x:is>
      </x:c>
    </x:row>
    <x:row r="179">
      <x:c r="A179" s="45" t="inlineStr">
        <x:is>
          <x:t xml:space="preserve">MAXIFS</x:t>
        </x:is>
      </x:c>
      <x:c r="B179" s="45" t="inlineStr">
        <x:is>
          <x:t xml:space="preserve">'=MAXIFS($E$3:$E$12,$E$3:$E$12,"&gt;5")</x:t>
        </x:is>
      </x:c>
      <x:c r="C179" s="46">
        <x:f>MAXIFS($E$3:$E$12,$E$3:$E$12,"&gt;5")</x:f>
      </x:c>
      <x:c r="D179" s="45" t="inlineStr">
        <x:is>
          <x:t xml:space="preserve"/>
        </x:is>
      </x:c>
    </x:row>
    <x:row r="180">
      <x:c r="A180" s="45" t="inlineStr">
        <x:is>
          <x:t xml:space="preserve">HSTACK</x:t>
        </x:is>
      </x:c>
      <x:c r="B180" s="45" t="inlineStr">
        <x:is>
          <x:t xml:space="preserve">'=HSTACK($E$3:$E$12,$F$3:$F$12)</x:t>
        </x:is>
      </x:c>
      <x:c r="C180" s="46" t="n"/>
      <x:c r="D180" s="45" t="inlineStr">
        <x:is>
          <x:t xml:space="preserve">Dynamic array; works in Google Sheets. Remove leading apostrophe after import.</x:t>
        </x:is>
      </x:c>
    </x:row>
    <x:row r="181">
      <x:c r="A181" s="45" t="inlineStr">
        <x:is>
          <x:t xml:space="preserve">SORT</x:t>
        </x:is>
      </x:c>
      <x:c r="B181" s="45" t="inlineStr">
        <x:is>
          <x:t xml:space="preserve">'=INDEX(SORT($E$3:$E$12,1,1),1)</x:t>
        </x:is>
      </x:c>
      <x:c r="C181" s="46">
        <x:f>INDEX(SORT($E$3:$E$12,1,1),1)</x:f>
      </x:c>
      <x:c r="D181" s="45" t="inlineStr">
        <x:is>
          <x:t xml:space="preserve"/>
        </x:is>
      </x:c>
    </x:row>
    <x:row r="182">
      <x:c r="A182" s="45" t="inlineStr">
        <x:is>
          <x:t xml:space="preserve">SORTBY</x:t>
        </x:is>
      </x:c>
      <x:c r="B182" s="45" t="inlineStr">
        <x:is>
          <x:t xml:space="preserve">'=SORTBY($E$3:$E$12,$E$3:$E$12,1)</x:t>
        </x:is>
      </x:c>
      <x:c r="C182" s="46" t="n"/>
      <x:c r="D182" s="45" t="inlineStr">
        <x:is>
          <x:t xml:space="preserve">Dynamic array; works in Google Sheets. Remove leading apostrophe after import.</x:t>
        </x:is>
      </x:c>
    </x:row>
    <x:row r="183">
      <x:c r="A183" s="47" t="inlineStr">
        <x:is>
          <x:t xml:space="preserve">—</x:t>
        </x:is>
      </x:c>
      <x:c r="B183" s="47" t="inlineStr">
        <x:is>
          <x:t xml:space="preserve">Dot-name equivalents (computed)</x:t>
        </x:is>
      </x:c>
      <x:c r="C183" s="49" t="n"/>
      <x:c r="D183" s="50" t="n"/>
    </x:row>
    <x:row r="184">
      <x:c r="A184" s="45" t="inlineStr">
        <x:is>
          <x:t xml:space="preserve">STDEV.S</x:t>
        </x:is>
      </x:c>
      <x:c r="B184" s="45" t="inlineStr">
        <x:is>
          <x:t xml:space="preserve">'=STDEV.S($E$3:$E$12)</x:t>
        </x:is>
      </x:c>
      <x:c r="C184" s="46">
        <x:f>STDEV.S($E$3:$E$12)</x:f>
      </x:c>
      <x:c r="D184" s="45" t="inlineStr">
        <x:is>
          <x:t xml:space="preserve">Dot version (sample stdev)</x:t>
        </x:is>
      </x:c>
    </x:row>
    <x:row r="185">
      <x:c r="A185" s="45" t="inlineStr">
        <x:is>
          <x:t xml:space="preserve">STDEV.P</x:t>
        </x:is>
      </x:c>
      <x:c r="B185" s="45" t="inlineStr">
        <x:is>
          <x:t xml:space="preserve">'=STDEV.P($E$3:$E$12)</x:t>
        </x:is>
      </x:c>
      <x:c r="C185" s="46">
        <x:f>STDEV.P($E$3:$E$12)</x:f>
      </x:c>
      <x:c r="D185" s="45" t="inlineStr">
        <x:is>
          <x:t xml:space="preserve">Dot version (population stdev)</x:t>
        </x:is>
      </x:c>
    </x:row>
    <x:row r="186">
      <x:c r="A186" s="45" t="inlineStr">
        <x:is>
          <x:t xml:space="preserve">VAR.S</x:t>
        </x:is>
      </x:c>
      <x:c r="B186" s="45" t="inlineStr">
        <x:is>
          <x:t xml:space="preserve">'=VAR.S($E$3:$E$12)</x:t>
        </x:is>
      </x:c>
      <x:c r="C186" s="46">
        <x:f>VAR.S($E$3:$E$12)</x:f>
      </x:c>
      <x:c r="D186" s="45" t="inlineStr">
        <x:is>
          <x:t xml:space="preserve">Dot version (sample variance)</x:t>
        </x:is>
      </x:c>
    </x:row>
    <x:row r="187">
      <x:c r="A187" s="45" t="inlineStr">
        <x:is>
          <x:t xml:space="preserve">VAR.P</x:t>
        </x:is>
      </x:c>
      <x:c r="B187" s="45" t="inlineStr">
        <x:is>
          <x:t xml:space="preserve">'=VAR.P($E$3:$E$12)</x:t>
        </x:is>
      </x:c>
      <x:c r="C187" s="46">
        <x:f>VAR.P($E$3:$E$12)</x:f>
      </x:c>
      <x:c r="D187" s="45" t="inlineStr">
        <x:is>
          <x:t xml:space="preserve">Dot version (population variance)</x:t>
        </x:is>
      </x:c>
    </x:row>
    <x:row r="188">
      <x:c r="A188" s="45" t="inlineStr">
        <x:is>
          <x:t xml:space="preserve">MODE.SNGL</x:t>
        </x:is>
      </x:c>
      <x:c r="B188" s="45" t="inlineStr">
        <x:is>
          <x:t xml:space="preserve">'=MODE.SNGL($E$3:$E$12)</x:t>
        </x:is>
      </x:c>
      <x:c r="C188" s="46">
        <x:f>MODE.SNGL($E$3:$E$12)</x:f>
      </x:c>
      <x:c r="D188" s="45" t="inlineStr">
        <x:is>
          <x:t xml:space="preserve">Dot version (single mode)</x:t>
        </x:is>
      </x:c>
    </x:row>
    <x:row r="189">
      <x:c r="A189" s="45" t="inlineStr">
        <x:is>
          <x:t xml:space="preserve">RANK.EQ</x:t>
        </x:is>
      </x:c>
      <x:c r="B189" s="45" t="inlineStr">
        <x:is>
          <x:t xml:space="preserve">'=RANK.EQ($E$3,$E$3:$E$12,0)</x:t>
        </x:is>
      </x:c>
      <x:c r="C189" s="46">
        <x:f>RANK.EQ($E$3,$E$3:$E$12,0)</x:f>
      </x:c>
      <x:c r="D189" s="45" t="inlineStr">
        <x:is>
          <x:t xml:space="preserve">Dot version</x:t>
        </x:is>
      </x:c>
    </x:row>
    <x:row r="190">
      <x:c r="A190" s="45" t="inlineStr">
        <x:is>
          <x:t xml:space="preserve">PERCENTILE.INC</x:t>
        </x:is>
      </x:c>
      <x:c r="B190" s="45" t="inlineStr">
        <x:is>
          <x:t xml:space="preserve">'=PERCENTILE.INC($E$3:$E$12,0.9)</x:t>
        </x:is>
      </x:c>
      <x:c r="C190" s="46">
        <x:f>PERCENTILE.INC($E$3:$E$12,0.9)</x:f>
      </x:c>
      <x:c r="D190" s="45" t="inlineStr">
        <x:is>
          <x:t xml:space="preserve">Dot version</x:t>
        </x:is>
      </x:c>
    </x:row>
    <x:row r="191">
      <x:c r="A191" s="45" t="inlineStr">
        <x:is>
          <x:t xml:space="preserve">QUARTILE.INC</x:t>
        </x:is>
      </x:c>
      <x:c r="B191" s="45" t="inlineStr">
        <x:is>
          <x:t xml:space="preserve">'=QUARTILE.INC($E$3:$E$12,1)</x:t>
        </x:is>
      </x:c>
      <x:c r="C191" s="46">
        <x:f>QUARTILE.INC($E$3:$E$12,1)</x:f>
      </x:c>
      <x:c r="D191" s="45" t="inlineStr">
        <x:is>
          <x:t xml:space="preserve">Dot version</x:t>
        </x:is>
      </x:c>
    </x:row>
  </x:sheetData>
  <x:mergeCells>
    <x:mergeCell ref="A1:C1"/>
    <x:mergeCell ref="B183:D183"/>
  </x:mergeCells>
  <x:pageMargins left="0.7" right="0.7" top="0.75" bottom="0.75" header="0.3" footer="0.3"/>
</x:worksheet>
</file>